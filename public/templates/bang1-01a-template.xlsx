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5.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activeTab="3"/>
  </bookViews>
  <sheets>
    <sheet sheetId="5" name="Bảng 1 (tính điểm CC)" state="visible" r:id="rId4"/>
    <sheet sheetId="12" name="Biểu 01A (CC)" state="visible" r:id="rId5"/>
  </sheets>
  <definedNames>
    <definedName name="_xlnm._FilterDatabase">'Danh mục sản phẩm'!$A$6:$X$3454</definedName>
    <definedName name="_xlnm.Print_Area" localSheetId="1">'Biểu 01A (CC)'!$A1:$D57</definedName>
  </definedNames>
  <calcPr calcId="171027" fullCalcOnLoad="1"/>
</workbook>
</file>

<file path=xl/sharedStrings.xml><?xml version="1.0" encoding="utf-8"?>
<sst xmlns="http://schemas.openxmlformats.org/spreadsheetml/2006/main" count="144" uniqueCount="115">
  <si>
    <t>CHI CỤC HẢI  QUAN KH U VỰC XVI</t>
  </si>
  <si>
    <t>HẢI QUAN CỬA KHẨU QUỐC TẾ TÀ LÙNG</t>
  </si>
  <si>
    <r>
      <t xml:space="preserve">Họ và tên: </t>
    </r>
  </si>
  <si>
    <t>Vị trí việc làm/nhiệm vụ được phân công chuyên trách: Giám sát quản lý hải quan</t>
  </si>
  <si>
    <t>Đơn vị công tác: Hải quan cửa khẩu quốc tế Tà Lùng</t>
  </si>
  <si>
    <t>Bảng 1. Cách tính điểm số lượng, tiến độ, chất lượng</t>
  </si>
  <si>
    <t>STT</t>
  </si>
  <si>
    <t>Nội dung nhiệm vụ</t>
  </si>
  <si>
    <t>Giao nhiệm vụ</t>
  </si>
  <si>
    <t>ĐÁNH GIÁ</t>
  </si>
  <si>
    <t>Đánh giá số lượng</t>
  </si>
  <si>
    <t>Đánh giá số lượng tiến độ</t>
  </si>
  <si>
    <t>Đánh giá chất lượng</t>
  </si>
  <si>
    <t>Ngày hết hạn</t>
  </si>
  <si>
    <t>Sản phẩm/công việc</t>
  </si>
  <si>
    <t>Hệ số quy đổi</t>
  </si>
  <si>
    <t>Số lượng giao</t>
  </si>
  <si>
    <t>Số lượng giao quy đổi</t>
  </si>
  <si>
    <t>Số lượng hoàn thành thực tế</t>
  </si>
  <si>
    <t>Số lượng hoàn thành thực tế quy đổi</t>
  </si>
  <si>
    <t>Ngày hoàn thành</t>
  </si>
  <si>
    <t>Số lần chậm tiến độ</t>
  </si>
  <si>
    <t>Số lượng hoàn thành thực tế đạt tiến độ quy đổi</t>
  </si>
  <si>
    <t>Số lần yêu cầu làm lại</t>
  </si>
  <si>
    <t>Số lượng hoàn thành thực tế đạt chất lượng quy đổi</t>
  </si>
  <si>
    <t>(1)</t>
  </si>
  <si>
    <t>(2)</t>
  </si>
  <si>
    <t>(3)</t>
  </si>
  <si>
    <t>(4)</t>
  </si>
  <si>
    <t>(5)</t>
  </si>
  <si>
    <t>(6)</t>
  </si>
  <si>
    <t>(7) = (5)*(6)</t>
  </si>
  <si>
    <t>(8)</t>
  </si>
  <si>
    <t>(9) = (5)*(8)</t>
  </si>
  <si>
    <t>(10)</t>
  </si>
  <si>
    <t xml:space="preserve">(11)
(10)-(3)</t>
  </si>
  <si>
    <t>(12) = (9)-(11)*25%*(9)</t>
  </si>
  <si>
    <t>(13)</t>
  </si>
  <si>
    <t>(14)=(9)-(13)*25%*(9)</t>
  </si>
  <si>
    <t>TỔNG CỔNG</t>
  </si>
  <si>
    <t>Điểm (%) về số lượng [= (9)/(7)]</t>
  </si>
  <si>
    <t>Điểm (%) về tiến độ [= (12)/(7)]</t>
  </si>
  <si>
    <t>Điểm % chất lượng [= (14)/(7)]</t>
  </si>
  <si>
    <t>Ghi chú</t>
  </si>
  <si>
    <t xml:space="preserve">Cột 2,4,5 tự động lấy danh mục sản phẩm/ công việc đã được phê duyệt Tờ trình 14838/TTr-CHQ ngày 03/4/2026; 
Cột 3,6 sẽ do người quản lý giao;
Cột 8 cá nhân tự báo cáo, người quản lý phê duyệt;
</t>
  </si>
  <si>
    <r>
      <t xml:space="preserve">II. Cách tính kết quả thực hiện nhiệm vụ của công chức
Công thức: 
Điểm đánh giá:</t>
    </r>
    <r>
      <rPr>
        <b/>
        <u/>
        <color theme="1"/>
        <family val="1"/>
        <scheme val="major"/>
        <sz val="14"/>
        <rFont val="Times New Roman"/>
      </rPr>
      <t xml:space="preserve"> a + b + c 
</t>
    </r>
    <r>
      <rPr>
        <b/>
        <color theme="1"/>
        <family val="1"/>
        <scheme val="major"/>
        <sz val="14"/>
        <rFont val="Times New Roman"/>
      </rPr>
      <t xml:space="preserve">                                 3</t>
    </r>
  </si>
  <si>
    <t>Chi tiêu đánh giá</t>
  </si>
  <si>
    <t>Đơn vị tính</t>
  </si>
  <si>
    <t>Kết quả thực hiện</t>
  </si>
  <si>
    <t xml:space="preserve">Sau khi tính điểm thực hiện đánh giá theo công thức đối với công chức tại bảng biểu là 77%, tiếp tục thực hiện bước tiếp theo là theo dõi đánh giá công chức tháng theo công thức như sau:
Tổng điểm theo dõi = Điểm tiêu chí chung + (Điểm giá x70)
Ví dụ: Tổng hợp điểm theo dõi đánh giá tháng của công chức không giữ chức vụ quản lý theo ví dụ điểm 4.1  Khoản 4, Chương VI "Sổ tay hướng dẫn"
'- Điểm tiêu chung: 30 điểm
'- Điểm đánh giá: 77% x 70 = 53,9
'- Tổng điểm  theo dõi đánh giá  của tháng: 30 + 53,9 = 83,9</t>
  </si>
  <si>
    <t>Điểm</t>
  </si>
  <si>
    <t>a</t>
  </si>
  <si>
    <t>Điểm tỉ lệ phần trăm (%) về số lượng kết quả thực hiện nhiệm vụ</t>
  </si>
  <si>
    <t>%</t>
  </si>
  <si>
    <t>b</t>
  </si>
  <si>
    <t>Điểm tỷ lệ phần trăm (%) về chất lượng kết quả thực hiện nhiệm vụ</t>
  </si>
  <si>
    <t>c</t>
  </si>
  <si>
    <t>Điểm tỷ lệ phần trăm (%) về tiến độ kết quả thực hiện nhiệm vụ</t>
  </si>
  <si>
    <t>Điểm đánh giá</t>
  </si>
  <si>
    <r>
      <t xml:space="preserve">III. Cách tính điểm tiêu chí kết quả thực hiện nhiệm vụ của công chức giữ chức vụ lãnh đạo quản lý
Công thức:
Điểm đánh giá: Điểm đánh giá: </t>
    </r>
    <r>
      <rPr>
        <b/>
        <u/>
        <color theme="1"/>
        <family val="1"/>
        <scheme val="major"/>
        <sz val="13"/>
        <rFont val="Times New Roman"/>
      </rPr>
      <t>a + b + c + d + đ + e</t>
    </r>
    <r>
      <rPr>
        <b/>
        <color theme="1"/>
        <family val="1"/>
        <scheme val="major"/>
        <sz val="13"/>
        <rFont val="Times New Roman"/>
      </rPr>
      <t xml:space="preserve">
                                                                      6</t>
    </r>
  </si>
  <si>
    <t>d</t>
  </si>
  <si>
    <t>Điểm tỷ lệ phần trăm (%) về kết quả hoạt động của lĩnh vực được giao lãnh đạo, quản lý, phụ trách</t>
  </si>
  <si>
    <t>đ</t>
  </si>
  <si>
    <t>Điểm tỷ lệ phần trăm (%) về khả năng tổ chức triển khai thực hiện nhiệm vụ</t>
  </si>
  <si>
    <t>e</t>
  </si>
  <si>
    <t>Điểm tỷ lệ phần trăm (%) về năng lực tập hợp, đoàn kết công chức thuộc phạm vi quản lý</t>
  </si>
  <si>
    <t>Mẫu 01A</t>
  </si>
  <si>
    <r>
      <t xml:space="preserve">CHI CỤC HẢI QUAN KHU VỰC XVI  </t>
    </r>
    <r>
      <rPr>
        <b/>
        <color theme="1"/>
        <family val="1"/>
        <scheme val="major"/>
        <sz val="13"/>
        <rFont val="Times New Roman"/>
      </rPr>
      <t>CỘNG HÒA XÃ HỘI CHỦ NGHĨA VIỆT NAM</t>
    </r>
  </si>
  <si>
    <t xml:space="preserve">       HẢI QUAN CKQT TÀ LÙNG                                 Độc lập - Tự do - Hạnh phúc</t>
  </si>
  <si>
    <t>PHIẾU THEO DÕI, ĐÁNH GIÁ CÔNG CHỨC</t>
  </si>
  <si>
    <t>(Dành cho công chức không giữ chức vụ lãnh đạo)</t>
  </si>
  <si>
    <t>Tháng 9/2026</t>
  </si>
  <si>
    <t>Đơn vị công tác: Hải quan cửa khẩu quốc tế Tà Lùng.</t>
  </si>
  <si>
    <r>
      <t>I.</t>
    </r>
    <r>
      <rPr>
        <color rgb="FF000000"/>
        <family val="1"/>
        <scheme val="major"/>
        <sz val="14"/>
        <rFont val="Times New Roman"/>
      </rPr>
      <t xml:space="preserve"> </t>
    </r>
    <r>
      <rPr>
        <b/>
        <color rgb="FF000000"/>
        <family val="1"/>
        <scheme val="major"/>
        <sz val="14"/>
        <rFont val="Times New Roman"/>
      </rPr>
      <t>KẾT QUẢ THEO DÕI, ĐÁNH GIÁ THEO TIÊU CHÍ CHUNG:</t>
    </r>
  </si>
  <si>
    <t>TT</t>
  </si>
  <si>
    <t>Tiêu chí chấm điểm</t>
  </si>
  <si>
    <t>Điểm tối đa</t>
  </si>
  <si>
    <t>Điểm do cá nhân tự chấm</t>
  </si>
  <si>
    <t>I</t>
  </si>
  <si>
    <t>Phẩm chất chính trị, phẩm chất đạo đức, văn hóa thực thi công vụ và ý thức kỷ luật, kỷ cương trong thực thi công vụ</t>
  </si>
  <si>
    <t>Phẩm chất chính trị, phẩm chất đạo đức, văn hóa thực thi công vụ</t>
  </si>
  <si>
    <t>Ý thức kỷ luật, kỷ cương trong thực thi công vụ</t>
  </si>
  <si>
    <t>II</t>
  </si>
  <si>
    <t>Năng lực chuyên môn, nghiệp vụ theo yêu cầu của vị trí việc làm; khả năng đáp ứng yêu cầu thực thi nhiệm vụ được giao; tinh thần trách nhiệm trong thực thi công vụ; thái độ phục vụ người dân, doanh nghiệp và khả năng phối hợp với đồng nghiệp</t>
  </si>
  <si>
    <t>Năng lực chuyên môn, nghiệp vụ theo yêu cầu của vị trí việc làm</t>
  </si>
  <si>
    <t>Khả năng đáp ứng yêu cầu thực thi nhiệm vụ được giao thường xuyên, đột xuất</t>
  </si>
  <si>
    <t>Tinh thần trách nhiệm trong thực thi công vụ</t>
  </si>
  <si>
    <t>Thái độ phục vụ người dân, doanh nghiệp và khả năng phối hợp với đồng nghiệp</t>
  </si>
  <si>
    <t>III</t>
  </si>
  <si>
    <t>Năng lực đổi mới, sáng tạo, dám nghĩ, dám làm, dám chịu trách nhiệm vì lợi ích chung trong thực thi công vụ</t>
  </si>
  <si>
    <t>Có sản phẩm, giải pháp đột phá, sáng tạo đem lại giá trị, hiệu quả thiết thực, tác động tích cực đến kết quả thực hiện nhiệm vụ của cơ quan, tổ chức, đơn vị.</t>
  </si>
  <si>
    <t>Sẵn sàng tham gia thực hiện nhiệm vụ chính trị đặc biệt quan trọng, nhiệm vụ có tính chất đột xuất, phức tạp hoặc trong điều kiện khó khăn.</t>
  </si>
  <si>
    <t>Có tinh thần chịu trách nhiệm trước kết quả công việc; chủ động nhận trách nhiệm khi có sai sót và có biện pháp khắc phục rõ ràng, cụ thể.</t>
  </si>
  <si>
    <t>Chủ động đưa ra quyết định trong phạm vi thẩm quyền, không né tránh; có tinh thần tiên phong trong thực hiện những nhiệm vụ mới.</t>
  </si>
  <si>
    <t>Tổng cộng</t>
  </si>
  <si>
    <r>
      <t>II.</t>
    </r>
    <r>
      <rPr>
        <color rgb="FF000000"/>
        <family val="1"/>
        <scheme val="major"/>
        <sz val="14"/>
        <rFont val="Times New Roman"/>
      </rPr>
      <t xml:space="preserve"> </t>
    </r>
    <r>
      <rPr>
        <b/>
        <color rgb="FF000000"/>
        <family val="1"/>
        <scheme val="major"/>
        <sz val="14"/>
        <rFont val="Times New Roman"/>
      </rPr>
      <t>TỔNG HỢP KẾT QUẢ TỰ ĐÁNH GIÁ, XẾP LOẠI:</t>
    </r>
  </si>
  <si>
    <r>
      <t xml:space="preserve">1. Điểm tiêu chí chung </t>
    </r>
    <r>
      <rPr>
        <b/>
        <i/>
        <color rgb="FF000000"/>
        <family val="1"/>
        <scheme val="major"/>
        <sz val="14"/>
        <rFont val="Times New Roman"/>
      </rPr>
      <t>(tối đa 30 điểm)</t>
    </r>
    <r>
      <rPr>
        <b/>
        <color rgb="FF000000"/>
        <family val="1"/>
        <scheme val="major"/>
        <sz val="14"/>
        <rFont val="Times New Roman"/>
      </rPr>
      <t>:</t>
    </r>
  </si>
  <si>
    <t>(Kết quả chấm điểm tại mục I)</t>
  </si>
  <si>
    <r>
      <t xml:space="preserve">2. Điểm tiêu chí kết quả thực hiện nhiệm vụ: </t>
    </r>
    <r>
      <rPr>
        <b/>
        <i/>
        <color rgb="FF000000"/>
        <family val="1"/>
        <scheme val="major"/>
        <sz val="14"/>
        <rFont val="Times New Roman"/>
      </rPr>
      <t>(tối đa 70 điểm):</t>
    </r>
  </si>
  <si>
    <t>a. Điểm tỷ lệ % đánh giá về số lượng (a):</t>
  </si>
  <si>
    <t xml:space="preserve">b. Điểm tỷ lệ % đánh giá về tiến độ (b): </t>
  </si>
  <si>
    <t xml:space="preserve">c. Điểm tỷ lệ % đánh giá về chất lượng (c): </t>
  </si>
  <si>
    <t xml:space="preserve">d. Điểm tỷ lệ % kết quả thực hiện nhiệm vụ (d = (a + b + c)/3)): </t>
  </si>
  <si>
    <t xml:space="preserve">Điểm tiêu chí kết quả thực hiện nhiệm vụ (=(d*70)/100)): </t>
  </si>
  <si>
    <t xml:space="preserve">3. Tổng điểm theo dõi, đánh giá (3=1+2): </t>
  </si>
  <si>
    <r>
      <t xml:space="preserve">4. Ưu điểm: </t>
    </r>
    <r>
      <rPr>
        <color rgb="FF000000"/>
        <family val="1"/>
        <sz val="14"/>
        <rFont val="Times New Roman"/>
      </rPr>
      <t>................................................................................................................</t>
    </r>
  </si>
  <si>
    <t>…............................................................................................................................................................................</t>
  </si>
  <si>
    <r>
      <t xml:space="preserve">5. Hạn chế, khuyết điểm: </t>
    </r>
    <r>
      <rPr>
        <color rgb="FF000000"/>
        <family val="1"/>
        <sz val="14"/>
        <rFont val="Times New Roman"/>
      </rPr>
      <t>..........................................................................................</t>
    </r>
  </si>
  <si>
    <t xml:space="preserve">6. Ý kiến nhận xét của cấp có thẩm quyền theo dõi, đánh giá: </t>
  </si>
  <si>
    <t>Phục Hòa, ngày....tháng.....năm 2026                Phục Hòa, ngày....tháng.....năm 2026</t>
  </si>
  <si>
    <t xml:space="preserve">       CÔNG CHỨC TỰ ĐÁNH GIÁ                                    CẤP CÓ THẨM QUYỀN</t>
  </si>
  <si>
    <r>
      <t xml:space="preserve">          (Ký tên, ghi rõ họ tên)                                           </t>
    </r>
    <r>
      <rPr>
        <b/>
        <color rgb="FF000000"/>
        <family val="1"/>
        <sz val="13"/>
        <rFont val="Times New Roman"/>
      </rPr>
      <t>THEO DÕI, ĐÁNH GIÁ</t>
    </r>
  </si>
  <si>
    <t xml:space="preserve">                                                                                            (Ký tên, ghi rõ họ tên)</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</si>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</sst>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
    <numFmt numFmtId="165" formatCode="dd/mm/yyyy"/>
    <numFmt numFmtId="166" formatCode="0.0"/>
  </numFmts>
  <fonts count="28" x14ac:knownFonts="1">
    <font>
      <color theme="1"/>
      <family val="2"/>
      <scheme val="minor"/>
      <sz val="11"/>
      <name val="Calibri"/>
    </font>
    <font>
      <color theme="1"/>
      <family val="1"/>
      <scheme val="major"/>
      <sz val="11"/>
      <name val="Times New Roman"/>
    </font>
    <font>
      <color theme="1"/>
      <family val="1"/>
      <scheme val="major"/>
      <sz val="14"/>
      <name val="Times New Roman"/>
    </font>
    <font>
      <b/>
      <color theme="1"/>
      <family val="1"/>
      <scheme val="major"/>
      <sz val="13"/>
      <name val="Times New Roman"/>
    </font>
    <font>
      <b/>
      <color theme="1"/>
      <family val="1"/>
      <scheme val="major"/>
      <sz val="14"/>
      <name val="Times New Roman"/>
    </font>
    <font>
      <b/>
      <color theme="1"/>
      <family val="1"/>
      <scheme val="major"/>
      <sz val="12"/>
      <name val="Times New Roman"/>
    </font>
    <font>
      <b/>
      <color theme="1"/>
      <family val="1"/>
      <scheme val="major"/>
      <sz val="10"/>
      <name val="Times New Roman"/>
    </font>
    <font>
      <color theme="1"/>
      <family val="1"/>
      <scheme val="major"/>
      <sz val="10"/>
      <name val="Times New Roman"/>
    </font>
    <font>
      <color rgb="FFFF0000"/>
      <family val="1"/>
      <scheme val="major"/>
      <sz val="11"/>
      <name val="Times New Roman"/>
    </font>
    <font>
      <family val="1"/>
      <scheme val="major"/>
      <sz val="10"/>
      <name val="Times New Roman"/>
    </font>
    <font>
      <family val="1"/>
      <sz val="10"/>
      <name val="Times New Roman"/>
    </font>
    <font>
      <b/>
      <u/>
      <color theme="1"/>
      <family val="1"/>
      <scheme val="major"/>
      <sz val="11"/>
      <name val="Times New Roman"/>
    </font>
    <font>
      <color theme="1"/>
      <family val="1"/>
      <scheme val="major"/>
      <sz val="13"/>
      <name val="Times New Roman"/>
    </font>
    <font>
      <color theme="1"/>
      <family val="1"/>
      <scheme val="major"/>
      <sz val="12"/>
      <name val="Times New Roman"/>
    </font>
    <font>
      <b/>
      <color theme="1"/>
      <family val="1"/>
      <scheme val="major"/>
      <sz val="11"/>
      <name val="Times New Roman"/>
    </font>
    <font>
      <b/>
      <color rgb="FF000000"/>
      <family val="1"/>
      <scheme val="major"/>
      <sz val="14"/>
      <name val="Times New Roman"/>
    </font>
    <font>
      <i/>
      <color rgb="FF000000"/>
      <family val="1"/>
      <scheme val="major"/>
      <sz val="14"/>
      <name val="Times New Roman"/>
    </font>
    <font>
      <b/>
      <i/>
      <color rgb="FF000000"/>
      <family val="1"/>
      <scheme val="major"/>
      <sz val="14"/>
      <name val="Times New Roman"/>
    </font>
    <font>
      <color rgb="FF000000"/>
      <family val="1"/>
      <scheme val="major"/>
      <sz val="14"/>
      <name val="Times New Roman"/>
    </font>
    <font>
      <color rgb="FF000000"/>
      <family val="1"/>
      <scheme val="major"/>
      <sz val="12"/>
      <name val="Times New Roman"/>
    </font>
    <font>
      <color theme="1"/>
      <family val="1"/>
      <sz val="11"/>
      <name val="Times New Roman"/>
    </font>
    <font>
      <b/>
      <color rgb="FF000000"/>
      <family val="1"/>
      <sz val="14"/>
      <name val="Times New Roman"/>
    </font>
    <font>
      <color rgb="FF000000"/>
      <family val="1"/>
      <sz val="14"/>
      <name val="Times New Roman"/>
    </font>
    <font>
      <b/>
      <i/>
      <color theme="1"/>
      <family val="1"/>
      <sz val="14"/>
      <name val="Times New Roman"/>
    </font>
    <font>
      <i/>
      <color rgb="FF000000"/>
      <family val="1"/>
      <sz val="14"/>
      <name val="Times New Roman"/>
    </font>
    <font>
      <b/>
      <color rgb="FF000000"/>
      <family val="1"/>
      <sz val="13"/>
      <name val="Times New Roman"/>
    </font>
    <font>
      <b/>
      <i/>
      <color theme="1"/>
      <family val="1"/>
      <scheme val="major"/>
      <sz val="14"/>
      <name val="Times New Roman"/>
    </font>
    <font>
      <i/>
      <color theme="1"/>
      <family val="1"/>
      <scheme val="major"/>
      <sz val="14"/>
      <name val="Times New Roman"/>
    </font>
  </fonts>
  <fills count="5">
    <fill>
      <patternFill patternType="none"/>
    </fill>
    <fill>
      <patternFill patternType="gray125"/>
    </fill>
    <fill>
      <patternFill patternType="solid">
        <fgColor theme="8" tint="0.3999755851924192"/>
        <bgColor indexed="64"/>
      </patternFill>
    </fill>
    <fill>
      <patternFill patternType="solid">
        <fgColor rgb="FFFFFF00"/>
        <bgColor indexed="64"/>
      </patternFill>
    </fill>
    <fill>
      <patternFill patternType="solid">
        <fgColor rgb="FFFFFFFF"/>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s>
  <cellStyleXfs count="1">
    <xf numFmtId="0" fontId="0" fillId="0" borderId="0"/>
  </cellStyleXfs>
  <cellXfs count="101">
    <xf numFmtId="0" fontId="0" fillId="0" borderId="0" xfId="0"/>
    <xf numFmtId="3" fontId="1" fillId="0" borderId="0" xfId="0" applyNumberFormat="1" applyFont="1"/>
    <xf numFmtId="49" fontId="1" fillId="0" borderId="0" xfId="0" applyNumberFormat="1" applyFont="1" applyAlignment="1">
      <alignment wrapText="1"/>
    </xf>
    <xf numFmtId="14" fontId="1" fillId="0" borderId="0" xfId="0" applyNumberFormat="1" applyFont="1"/>
    <xf numFmtId="49" fontId="1" fillId="0" borderId="0" xfId="0" applyNumberFormat="1" applyFont="1"/>
    <xf numFmtId="164" fontId="1" fillId="0" borderId="0" xfId="0" applyNumberFormat="1" applyFont="1" applyAlignment="1">
      <alignment horizontal="center"/>
    </xf>
    <xf numFmtId="164" fontId="1" fillId="0" borderId="0" xfId="0" applyNumberFormat="1" applyFont="1"/>
    <xf numFmtId="49" fontId="2" fillId="0" borderId="0" xfId="0" applyNumberFormat="1" applyFont="1" applyAlignment="1">
      <alignment horizontal="center" vertical="top" wrapText="1"/>
    </xf>
    <xf numFmtId="49" fontId="3" fillId="0" borderId="0" xfId="0" applyNumberFormat="1" applyFont="1" applyAlignment="1">
      <alignment horizontal="center" vertical="center" wrapText="1"/>
    </xf>
    <xf numFmtId="3" fontId="2" fillId="0" borderId="0" xfId="0" applyNumberFormat="1" applyFont="1"/>
    <xf numFmtId="49" fontId="2" fillId="0" borderId="0" xfId="0" applyNumberFormat="1" applyFont="1" applyAlignment="1">
      <alignment wrapText="1"/>
    </xf>
    <xf numFmtId="14" fontId="4" fillId="0" borderId="0" xfId="0" applyNumberFormat="1" applyFont="1" applyAlignment="1">
      <alignment horizontal="center" wrapText="1"/>
    </xf>
    <xf numFmtId="14" fontId="4" fillId="0" borderId="0" xfId="0" applyNumberFormat="1" applyFont="1" applyAlignment="1">
      <alignment horizontal="center"/>
    </xf>
    <xf numFmtId="164" fontId="3" fillId="0" borderId="0" xfId="0" applyNumberFormat="1" applyFont="1" applyAlignment="1">
      <alignment horizontal="center" vertical="center" wrapText="1"/>
    </xf>
    <xf numFmtId="164" fontId="5" fillId="0" borderId="1" xfId="0" applyNumberFormat="1" applyFont="1" applyBorder="1" applyAlignment="1">
      <alignment horizontal="center" vertical="center" wrapText="1"/>
    </xf>
    <xf numFmtId="3" fontId="6" fillId="0" borderId="2" xfId="0" applyNumberFormat="1" applyFont="1" applyBorder="1" applyAlignment="1">
      <alignment horizontal="center" vertical="center"/>
    </xf>
    <xf numFmtId="49" fontId="6" fillId="0" borderId="2" xfId="0" applyNumberFormat="1" applyFont="1" applyBorder="1" applyAlignment="1">
      <alignment horizontal="center" vertical="center" wrapText="1"/>
    </xf>
    <xf numFmtId="3" fontId="6" fillId="0" borderId="2" xfId="0" applyNumberFormat="1" applyFont="1" applyBorder="1" applyAlignment="1">
      <alignment horizontal="center" vertical="center" wrapText="1"/>
    </xf>
    <xf numFmtId="164" fontId="6" fillId="0" borderId="2" xfId="0" applyNumberFormat="1" applyFont="1" applyBorder="1" applyAlignment="1">
      <alignment horizontal="center" vertical="center" wrapText="1"/>
    </xf>
    <xf numFmtId="14" fontId="6" fillId="0" borderId="2" xfId="0" applyNumberFormat="1" applyFont="1" applyBorder="1" applyAlignment="1">
      <alignment horizontal="center" vertical="center" wrapText="1"/>
    </xf>
    <xf numFmtId="3" fontId="1" fillId="0" borderId="0" xfId="0" applyNumberFormat="1" applyFont="1" applyAlignment="1">
      <alignment wrapText="1"/>
    </xf>
    <xf numFmtId="0" fontId="7" fillId="0" borderId="2" xfId="0" applyFont="1" applyBorder="1" applyAlignment="1">
      <alignment horizontal="center" vertical="center" wrapText="1"/>
    </xf>
    <xf numFmtId="49" fontId="7" fillId="0" borderId="2" xfId="0" applyNumberFormat="1" applyFont="1" applyBorder="1" applyAlignment="1">
      <alignment horizontal="center" vertical="center" wrapText="1"/>
    </xf>
    <xf numFmtId="14" fontId="7" fillId="0" borderId="2" xfId="0" applyNumberFormat="1" applyFont="1" applyBorder="1" applyAlignment="1">
      <alignment horizontal="center" vertical="center" wrapText="1"/>
    </xf>
    <xf numFmtId="164" fontId="7" fillId="0" borderId="2" xfId="0" applyNumberFormat="1" applyFont="1" applyBorder="1" applyAlignment="1">
      <alignment horizontal="center" vertical="center" wrapText="1"/>
    </xf>
    <xf numFmtId="3" fontId="7" fillId="0" borderId="2" xfId="0" applyNumberFormat="1" applyFont="1" applyBorder="1" applyAlignment="1">
      <alignment horizontal="center" vertical="center" wrapText="1"/>
    </xf>
    <xf numFmtId="3" fontId="8" fillId="0" borderId="0" xfId="0" applyNumberFormat="1" applyFont="1" applyAlignment="1">
      <alignment vertical="center"/>
    </xf>
    <xf numFmtId="3" fontId="9" fillId="0" borderId="2" xfId="0" applyNumberFormat="1" applyFont="1" applyBorder="1" applyAlignment="1">
      <alignment horizontal="center" vertical="center"/>
    </xf>
    <xf numFmtId="0" fontId="10" fillId="0" borderId="3" xfId="0" applyFont="1" applyBorder="1" applyAlignment="1">
      <alignment horizontal="left" vertical="center" wrapText="1"/>
    </xf>
    <xf numFmtId="165" fontId="10" fillId="0" borderId="2" xfId="0" applyNumberFormat="1" applyFont="1" applyBorder="1" applyAlignment="1">
      <alignment vertical="center" shrinkToFit="1"/>
    </xf>
    <xf numFmtId="0" fontId="10" fillId="0" borderId="2" xfId="0" applyFont="1" applyBorder="1" applyAlignment="1">
      <alignment horizontal="center" vertical="center" wrapText="1"/>
    </xf>
    <xf numFmtId="164" fontId="9" fillId="0" borderId="2" xfId="0" applyNumberFormat="1" applyFont="1" applyBorder="1" applyAlignment="1">
      <alignment horizontal="center" vertical="center"/>
    </xf>
    <xf numFmtId="0" fontId="9" fillId="0" borderId="2" xfId="0" applyFont="1" applyBorder="1" applyAlignment="1">
      <alignment horizontal="center" vertical="center" wrapText="1"/>
    </xf>
    <xf numFmtId="165" fontId="9" fillId="0" borderId="2" xfId="0" applyNumberFormat="1" applyFont="1" applyBorder="1" applyAlignment="1">
      <alignment vertical="center" shrinkToFit="1"/>
    </xf>
    <xf numFmtId="164" fontId="6" fillId="0" borderId="2" xfId="0" applyNumberFormat="1" applyFont="1" applyBorder="1" applyAlignment="1">
      <alignment horizontal="center" vertical="center"/>
    </xf>
    <xf numFmtId="3" fontId="7" fillId="0" borderId="2" xfId="0" applyNumberFormat="1" applyFont="1" applyBorder="1" applyAlignment="1">
      <alignment horizontal="left" vertical="center"/>
    </xf>
    <xf numFmtId="164" fontId="5" fillId="0" borderId="2" xfId="0" applyNumberFormat="1" applyFont="1" applyBorder="1" applyAlignment="1">
      <alignment vertical="center"/>
    </xf>
    <xf numFmtId="164" fontId="5" fillId="0" borderId="3" xfId="0" applyNumberFormat="1" applyFont="1" applyBorder="1" applyAlignment="1">
      <alignment vertical="center"/>
    </xf>
    <xf numFmtId="164" fontId="5" fillId="0" borderId="2" xfId="0" applyNumberFormat="1" applyFont="1" applyBorder="1" applyAlignment="1">
      <alignment horizontal="center" vertical="center"/>
    </xf>
    <xf numFmtId="164" fontId="7" fillId="0" borderId="2" xfId="0" applyNumberFormat="1" applyFont="1" applyBorder="1" applyAlignment="1">
      <alignment vertical="center" wrapText="1"/>
    </xf>
    <xf numFmtId="3" fontId="11" fillId="0" borderId="0" xfId="0" applyNumberFormat="1" applyFont="1"/>
    <xf numFmtId="3" fontId="12" fillId="0" borderId="0" xfId="0" applyNumberFormat="1" applyFont="1" applyAlignment="1">
      <alignment horizontal="left" wrapText="1"/>
    </xf>
    <xf numFmtId="3" fontId="4" fillId="0" borderId="1" xfId="0" applyNumberFormat="1" applyFont="1" applyBorder="1" applyAlignment="1">
      <alignment horizontal="left" vertical="center" wrapText="1"/>
    </xf>
    <xf numFmtId="3" fontId="4" fillId="0" borderId="0" xfId="0" applyNumberFormat="1" applyFont="1" applyAlignment="1">
      <alignment vertical="center" wrapText="1"/>
    </xf>
    <xf numFmtId="164" fontId="4" fillId="0" borderId="0" xfId="0" applyNumberFormat="1" applyFont="1" applyAlignment="1">
      <alignment vertical="center" wrapText="1"/>
    </xf>
    <xf numFmtId="14" fontId="5" fillId="0" borderId="2" xfId="0" applyNumberFormat="1" applyFont="1" applyBorder="1" applyAlignment="1">
      <alignment horizontal="center" vertical="center"/>
    </xf>
    <xf numFmtId="49" fontId="5" fillId="0" borderId="2" xfId="0" applyNumberFormat="1" applyFont="1" applyBorder="1" applyAlignment="1">
      <alignment vertical="center"/>
    </xf>
    <xf numFmtId="164" fontId="5" fillId="0" borderId="2" xfId="0" applyNumberFormat="1" applyFont="1" applyBorder="1" applyAlignment="1">
      <alignment horizontal="center" vertical="center" wrapText="1"/>
    </xf>
    <xf numFmtId="3" fontId="1" fillId="2" borderId="4" xfId="0" applyNumberFormat="1" applyFont="1" applyFill="1" applyBorder="1" applyAlignment="1">
      <alignment horizontal="left" vertical="top" wrapText="1"/>
    </xf>
    <xf numFmtId="14" fontId="13" fillId="0" borderId="2" xfId="0" applyNumberFormat="1" applyFont="1" applyBorder="1" applyAlignment="1">
      <alignment horizontal="center" vertical="center"/>
    </xf>
    <xf numFmtId="49" fontId="13" fillId="0" borderId="2" xfId="0" applyNumberFormat="1" applyFont="1" applyBorder="1" applyAlignment="1">
      <alignment vertical="center" wrapText="1"/>
    </xf>
    <xf numFmtId="164" fontId="13" fillId="0" borderId="2" xfId="0" applyNumberFormat="1" applyFont="1" applyBorder="1" applyAlignment="1">
      <alignment horizontal="center" vertical="center"/>
    </xf>
    <xf numFmtId="1" fontId="13" fillId="0" borderId="2" xfId="0" applyNumberFormat="1" applyFont="1" applyBorder="1" applyAlignment="1">
      <alignment horizontal="center" vertical="center"/>
    </xf>
    <xf numFmtId="3" fontId="3" fillId="0" borderId="5" xfId="0" applyNumberFormat="1" applyFont="1" applyBorder="1" applyAlignment="1">
      <alignment horizontal="center"/>
    </xf>
    <xf numFmtId="14" fontId="1" fillId="0" borderId="2" xfId="0" applyNumberFormat="1" applyFont="1" applyBorder="1" applyAlignment="1">
      <alignment horizontal="center"/>
    </xf>
    <xf numFmtId="1" fontId="1" fillId="3" borderId="2" xfId="0" applyNumberFormat="1" applyFont="1" applyFill="1" applyBorder="1" applyAlignment="1">
      <alignment horizontal="center" vertical="center"/>
    </xf>
    <xf numFmtId="3" fontId="3" fillId="0" borderId="0" xfId="0" applyNumberFormat="1" applyFont="1" applyAlignment="1">
      <alignment horizontal="center"/>
    </xf>
    <xf numFmtId="14" fontId="1" fillId="0" borderId="0" xfId="0" applyNumberFormat="1" applyFont="1" applyAlignment="1">
      <alignment horizontal="center"/>
    </xf>
    <xf numFmtId="1" fontId="1" fillId="0" borderId="0" xfId="0" applyNumberFormat="1" applyFont="1" applyAlignment="1">
      <alignment horizontal="center" vertical="center"/>
    </xf>
    <xf numFmtId="3" fontId="3" fillId="0" borderId="0" xfId="0" applyNumberFormat="1" applyFont="1" applyAlignment="1">
      <alignment horizontal="left" vertical="center" wrapText="1"/>
    </xf>
    <xf numFmtId="49" fontId="13" fillId="0" borderId="2" xfId="0" applyNumberFormat="1" applyFont="1" applyBorder="1" applyAlignment="1">
      <alignment horizontal="left" vertical="center" wrapText="1"/>
    </xf>
    <xf numFmtId="49" fontId="1" fillId="0" borderId="2" xfId="0" applyNumberFormat="1" applyFont="1" applyBorder="1"/>
    <xf numFmtId="49" fontId="1" fillId="0" borderId="2" xfId="0" applyNumberFormat="1" applyFont="1" applyBorder="1" applyAlignment="1">
      <alignment horizontal="center"/>
    </xf>
    <xf numFmtId="3" fontId="14" fillId="0" borderId="2" xfId="0" applyNumberFormat="1" applyFont="1" applyBorder="1" applyAlignment="1">
      <alignment horizontal="center" vertical="center"/>
    </xf>
    <xf numFmtId="49" fontId="1" fillId="0" borderId="2" xfId="0" applyNumberFormat="1" applyFont="1" applyBorder="1" applyAlignment="1">
      <alignment horizontal="left" vertical="center" wrapText="1"/>
    </xf>
    <xf numFmtId="0" fontId="1" fillId="0" borderId="0" xfId="0" applyFont="1"/>
    <xf numFmtId="0" fontId="4" fillId="0" borderId="0" xfId="0" applyFont="1" applyAlignment="1">
      <alignment horizontal="center"/>
    </xf>
    <xf numFmtId="0" fontId="12" fillId="0" borderId="0" xfId="0" applyFont="1"/>
    <xf numFmtId="0" fontId="3" fillId="0" borderId="0" xfId="0" applyFont="1"/>
    <xf numFmtId="0" fontId="14" fillId="0" borderId="0" xfId="0" applyFont="1"/>
    <xf numFmtId="0" fontId="15" fillId="0" borderId="0" xfId="0" applyFont="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3" fontId="18" fillId="0" borderId="0" xfId="0" applyNumberFormat="1" applyFont="1" applyAlignment="1">
      <alignment vertical="center"/>
    </xf>
    <xf numFmtId="0" fontId="18" fillId="0" borderId="0" xfId="0" applyFont="1" applyAlignment="1">
      <alignment vertical="center"/>
    </xf>
    <xf numFmtId="0" fontId="15" fillId="0" borderId="0" xfId="0" applyFont="1" applyAlignment="1">
      <alignment vertical="center"/>
    </xf>
    <xf numFmtId="0" fontId="5" fillId="0" borderId="2" xfId="0" applyFont="1" applyBorder="1" applyAlignment="1">
      <alignment horizontal="center" vertical="center" wrapText="1"/>
    </xf>
    <xf numFmtId="0" fontId="13" fillId="0" borderId="2" xfId="0" applyFont="1" applyBorder="1" applyAlignment="1">
      <alignment horizontal="center" vertical="center"/>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19" fillId="4" borderId="2" xfId="0" applyFont="1" applyFill="1" applyBorder="1" applyAlignment="1">
      <alignment vertical="center" wrapText="1"/>
    </xf>
    <xf numFmtId="0" fontId="15" fillId="0" borderId="2" xfId="0" applyFont="1" applyBorder="1" applyAlignment="1">
      <alignment horizontal="center"/>
    </xf>
    <xf numFmtId="0" fontId="4" fillId="0" borderId="2" xfId="0" applyFont="1" applyBorder="1" applyAlignment="1">
      <alignment horizontal="center" vertical="center"/>
    </xf>
    <xf numFmtId="0" fontId="4" fillId="0" borderId="0" xfId="0" applyFont="1" applyAlignment="1">
      <alignment horizontal="right"/>
    </xf>
    <xf numFmtId="0" fontId="16" fillId="0" borderId="0" xfId="0" applyFont="1" applyAlignment="1">
      <alignment vertical="center"/>
    </xf>
    <xf numFmtId="0" fontId="2" fillId="0" borderId="0" xfId="0" applyFont="1"/>
    <xf numFmtId="2" fontId="4" fillId="0" borderId="0" xfId="0" applyNumberFormat="1" applyFont="1"/>
    <xf numFmtId="166" fontId="2" fillId="0" borderId="0" xfId="0" applyNumberFormat="1" applyFont="1"/>
    <xf numFmtId="1" fontId="2" fillId="0" borderId="0" xfId="0" applyNumberFormat="1" applyFont="1"/>
    <xf numFmtId="2" fontId="2" fillId="0" borderId="0" xfId="0" applyNumberFormat="1" applyFont="1"/>
    <xf numFmtId="0" fontId="20" fillId="0" borderId="0" xfId="0" applyFont="1"/>
    <xf numFmtId="0" fontId="21" fillId="0" borderId="0" xfId="0" applyFont="1" applyAlignment="1">
      <alignment vertical="center"/>
    </xf>
    <xf numFmtId="0" fontId="22" fillId="0" borderId="0" xfId="0" applyFont="1" applyAlignment="1">
      <alignment vertical="center"/>
    </xf>
    <xf numFmtId="0" fontId="23" fillId="0" borderId="0" xfId="0" applyFont="1"/>
    <xf numFmtId="0" fontId="24" fillId="0" borderId="0" xfId="0" applyFont="1"/>
    <xf numFmtId="0" fontId="25" fillId="0" borderId="0" xfId="0" applyFont="1"/>
    <xf numFmtId="0" fontId="26" fillId="0" borderId="0" xfId="0" applyFont="1"/>
    <xf numFmtId="0" fontId="16" fillId="0" borderId="0" xfId="0" applyFont="1"/>
    <xf numFmtId="0" fontId="27" fillId="0" borderId="0" xfId="0" applyFont="1"/>
    <xf numFmtId="0" fontId="15"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5.xml"/><Relationship Id="rId5" Type="http://schemas.openxmlformats.org/officeDocument/2006/relationships/worksheet" Target="worksheets/sheet1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91"/>
  <sheetViews>
    <sheetView workbookViewId="0" zoomScale="115" zoomScaleNormal="115">
      <selection activeCell="N30" sqref="N30"/>
    </sheetView>
  </sheetViews>
  <sheetFormatPr defaultRowHeight="15" outlineLevelRow="0" outlineLevelCol="0" x14ac:dyDescent="0.25" defaultColWidth="9.125"/>
  <cols>
    <col min="1" max="1" width="4.375" style="1" customWidth="1"/>
    <col min="2" max="2" width="22.375" style="2" customWidth="1"/>
    <col min="3" max="3" width="7.875" style="3" customWidth="1"/>
    <col min="4" max="4" width="18.125" style="4" customWidth="1"/>
    <col min="5" max="6" width="5.375" style="5" customWidth="1"/>
    <col min="7" max="7" width="7.625" style="5" customWidth="1"/>
    <col min="8" max="8" width="5.75" style="5" customWidth="1"/>
    <col min="9" max="9" width="7.625" style="5" customWidth="1"/>
    <col min="10" max="10" width="7.625" style="3" customWidth="1"/>
    <col min="11" max="11" width="6" style="1" customWidth="1"/>
    <col min="12" max="12" width="8.375" style="6" customWidth="1"/>
    <col min="13" max="13" width="5.125" style="6" customWidth="1"/>
    <col min="14" max="14" width="9" style="6" customWidth="1"/>
    <col min="15" max="16384" width="9.125" style="1" customWidth="1"/>
  </cols>
  <sheetData>
    <row r="1" ht="18.75" customHeight="1" spans="1:4" x14ac:dyDescent="0.25">
      <c r="A1" s="7" t="s">
        <v>0</v>
      </c>
      <c r="B1" s="7"/>
      <c r="C1" s="7"/>
      <c r="D1" s="7"/>
    </row>
    <row r="2" ht="20.25" customHeight="1" spans="1:10" x14ac:dyDescent="0.25">
      <c r="A2" s="8" t="s">
        <v>1</v>
      </c>
      <c r="B2" s="8"/>
      <c r="C2" s="8"/>
      <c r="D2" s="8"/>
      <c r="E2" s="2"/>
      <c r="F2" s="2"/>
      <c r="G2" s="2"/>
      <c r="H2" s="2"/>
      <c r="I2" s="2"/>
      <c r="J2" s="2"/>
    </row>
    <row r="3" ht="20.25" customHeight="1" spans="1:10" x14ac:dyDescent="0.25">
      <c r="A3" s="8"/>
      <c r="B3" s="8"/>
      <c r="C3" s="8"/>
      <c r="D3" s="8"/>
      <c r="E3" s="2"/>
      <c r="F3" s="2"/>
      <c r="G3" s="2"/>
      <c r="H3" s="2"/>
      <c r="I3" s="2"/>
      <c r="J3" s="2"/>
    </row>
    <row r="4" ht="29.25" customHeight="1" spans="1:10" x14ac:dyDescent="0.25">
      <c r="A4" s="9" t="s">
        <v>2</v>
      </c>
      <c r="B4" s="10"/>
      <c r="C4" s="11"/>
      <c r="D4" s="12"/>
      <c r="E4" s="12"/>
      <c r="F4" s="12"/>
      <c r="G4" s="12"/>
      <c r="H4" s="12"/>
      <c r="I4" s="12"/>
      <c r="J4" s="12"/>
    </row>
    <row r="5" ht="18.75" customHeight="1" spans="1:10" x14ac:dyDescent="0.25">
      <c r="A5" s="9" t="s">
        <v>3</v>
      </c>
      <c r="B5" s="10"/>
      <c r="C5" s="11"/>
      <c r="D5" s="12"/>
      <c r="E5" s="12"/>
      <c r="F5" s="12"/>
      <c r="G5" s="12"/>
      <c r="H5" s="12"/>
      <c r="I5" s="12"/>
      <c r="J5" s="12"/>
    </row>
    <row r="6" ht="18.75" customHeight="1" spans="1:14" x14ac:dyDescent="0.25">
      <c r="A6" s="9" t="s">
        <v>4</v>
      </c>
      <c r="B6" s="10"/>
      <c r="C6" s="11"/>
      <c r="D6" s="12"/>
      <c r="E6" s="12"/>
      <c r="F6" s="12"/>
      <c r="G6" s="12"/>
      <c r="H6" s="12"/>
      <c r="I6" s="12"/>
      <c r="J6" s="12"/>
      <c r="K6" s="13"/>
      <c r="L6" s="13"/>
      <c r="M6" s="13"/>
      <c r="N6" s="13"/>
    </row>
    <row r="7" ht="18.75" customHeight="1" spans="1:14" x14ac:dyDescent="0.25">
      <c r="A7" s="1"/>
      <c r="C7" s="11"/>
      <c r="D7" s="12"/>
      <c r="E7" s="14" t="s">
        <v>5</v>
      </c>
      <c r="F7" s="14"/>
      <c r="G7" s="14"/>
      <c r="H7" s="14"/>
      <c r="I7" s="14"/>
      <c r="J7" s="14"/>
      <c r="K7" s="14"/>
      <c r="L7" s="14"/>
      <c r="M7" s="14"/>
      <c r="N7" s="14"/>
    </row>
    <row r="8" ht="21.75" customHeight="1" spans="1:14" x14ac:dyDescent="0.25">
      <c r="A8" s="15" t="s">
        <v>6</v>
      </c>
      <c r="B8" s="16" t="s">
        <v>7</v>
      </c>
      <c r="C8" s="15" t="s">
        <v>8</v>
      </c>
      <c r="D8" s="15"/>
      <c r="E8" s="15"/>
      <c r="F8" s="15"/>
      <c r="G8" s="15"/>
      <c r="H8" s="15" t="s">
        <v>9</v>
      </c>
      <c r="I8" s="15"/>
      <c r="J8" s="15"/>
      <c r="K8" s="15"/>
      <c r="L8" s="15"/>
      <c r="M8" s="15"/>
      <c r="N8" s="15"/>
    </row>
    <row r="9" ht="31.5" customHeight="1" spans="1:14" x14ac:dyDescent="0.25">
      <c r="A9" s="15"/>
      <c r="B9" s="16"/>
      <c r="C9" s="15"/>
      <c r="D9" s="15"/>
      <c r="E9" s="15"/>
      <c r="F9" s="15"/>
      <c r="G9" s="15"/>
      <c r="H9" s="17" t="s">
        <v>10</v>
      </c>
      <c r="I9" s="17"/>
      <c r="J9" s="17" t="s">
        <v>11</v>
      </c>
      <c r="K9" s="17"/>
      <c r="L9" s="17"/>
      <c r="M9" s="18" t="s">
        <v>12</v>
      </c>
      <c r="N9" s="18"/>
    </row>
    <row r="10" ht="102" customHeight="1" spans="1:14" x14ac:dyDescent="0.25">
      <c r="A10" s="15"/>
      <c r="B10" s="16"/>
      <c r="C10" s="19" t="s">
        <v>13</v>
      </c>
      <c r="D10" s="16" t="s">
        <v>14</v>
      </c>
      <c r="E10" s="18" t="s">
        <v>15</v>
      </c>
      <c r="F10" s="18" t="s">
        <v>16</v>
      </c>
      <c r="G10" s="18" t="s">
        <v>17</v>
      </c>
      <c r="H10" s="18" t="s">
        <v>18</v>
      </c>
      <c r="I10" s="18" t="s">
        <v>19</v>
      </c>
      <c r="J10" s="19" t="s">
        <v>20</v>
      </c>
      <c r="K10" s="17" t="s">
        <v>21</v>
      </c>
      <c r="L10" s="18" t="s">
        <v>22</v>
      </c>
      <c r="M10" s="18" t="s">
        <v>23</v>
      </c>
      <c r="N10" s="18" t="s">
        <v>24</v>
      </c>
    </row>
    <row r="11" ht="39" customHeight="1" spans="1:14" s="20" customFormat="1" x14ac:dyDescent="0.25">
      <c r="A11" s="21" t="s">
        <v>25</v>
      </c>
      <c r="B11" s="22" t="s">
        <v>26</v>
      </c>
      <c r="C11" s="23" t="s">
        <v>27</v>
      </c>
      <c r="D11" s="22" t="s">
        <v>28</v>
      </c>
      <c r="E11" s="24" t="s">
        <v>29</v>
      </c>
      <c r="F11" s="24" t="s">
        <v>30</v>
      </c>
      <c r="G11" s="24" t="s">
        <v>31</v>
      </c>
      <c r="H11" s="24" t="s">
        <v>32</v>
      </c>
      <c r="I11" s="24" t="s">
        <v>33</v>
      </c>
      <c r="J11" s="23" t="s">
        <v>34</v>
      </c>
      <c r="K11" s="25" t="s">
        <v>35</v>
      </c>
      <c r="L11" s="24" t="s">
        <v>36</v>
      </c>
      <c r="M11" s="24" t="s">
        <v>37</v>
      </c>
      <c r="N11" s="24" t="s">
        <v>38</v>
      </c>
    </row>
    <row r="12" ht="44.25" customHeight="1" spans="1:14" s="26" customFormat="1" x14ac:dyDescent="0.25">
      <c r="A12" s="27">
        <v>1</v>
      </c>
      <c r="B12" s="28"/>
      <c r="C12" s="29"/>
      <c r="D12" s="30"/>
      <c r="E12" s="31"/>
      <c r="F12" s="30"/>
      <c r="G12" s="31"/>
      <c r="H12" s="32">
        <f>F12</f>
        <v>0</v>
      </c>
      <c r="I12" s="31">
        <f>E12*H12</f>
        <v>0</v>
      </c>
      <c r="J12" s="33">
        <f>C12</f>
        <v>0</v>
      </c>
      <c r="K12" s="27">
        <f>IF(J12-C12&gt;0,J12-C12,0)</f>
        <v>0</v>
      </c>
      <c r="L12" s="31">
        <f>I12-K12*25%*I12</f>
        <v>0</v>
      </c>
      <c r="M12" s="32"/>
      <c r="N12" s="31">
        <f>I12-M12*25%*I12</f>
        <v>0</v>
      </c>
    </row>
    <row r="13" ht="44.25" customHeight="1" spans="1:14" s="26" customFormat="1" x14ac:dyDescent="0.25">
      <c r="A13" s="27">
        <v>2</v>
      </c>
      <c r="B13" s="28"/>
      <c r="C13" s="29"/>
      <c r="D13" s="30"/>
      <c r="E13" s="31"/>
      <c r="F13" s="30"/>
      <c r="G13" s="31"/>
      <c r="H13" s="32">
        <f>F13</f>
        <v>0</v>
      </c>
      <c r="I13" s="31">
        <f>E13*H13</f>
        <v>0</v>
      </c>
      <c r="J13" s="33">
        <f>C13</f>
        <v>0</v>
      </c>
      <c r="K13" s="27">
        <f>IF(J13-C13&gt;0,J13-C13,0)</f>
        <v>0</v>
      </c>
      <c r="L13" s="31">
        <f>I13-K13*25%*I13</f>
        <v>0</v>
      </c>
      <c r="M13" s="32"/>
      <c r="N13" s="31">
        <f>I13-M13*25%*I13</f>
        <v>0</v>
      </c>
    </row>
    <row r="14" ht="44.25" customHeight="1" spans="1:14" s="26" customFormat="1" x14ac:dyDescent="0.25">
      <c r="A14" s="27">
        <v>3</v>
      </c>
      <c r="B14" s="28"/>
      <c r="C14" s="29"/>
      <c r="D14" s="30"/>
      <c r="E14" s="31"/>
      <c r="F14" s="30"/>
      <c r="G14" s="31"/>
      <c r="H14" s="32">
        <f>F14</f>
        <v>0</v>
      </c>
      <c r="I14" s="31">
        <f>E14*H14</f>
        <v>0</v>
      </c>
      <c r="J14" s="33">
        <f>C14</f>
        <v>0</v>
      </c>
      <c r="K14" s="27">
        <f>IF(J14-C14&gt;0,J14-C14,0)</f>
        <v>0</v>
      </c>
      <c r="L14" s="31">
        <f>I14-K14*25%*I14</f>
        <v>0</v>
      </c>
      <c r="M14" s="32"/>
      <c r="N14" s="31">
        <f>I14-M14*25%*I14</f>
        <v>0</v>
      </c>
    </row>
    <row r="15" ht="44.25" customHeight="1" spans="1:14" s="26" customFormat="1" x14ac:dyDescent="0.25">
      <c r="A15" s="27">
        <v>4</v>
      </c>
      <c r="B15" s="28"/>
      <c r="C15" s="29"/>
      <c r="D15" s="30"/>
      <c r="E15" s="31"/>
      <c r="F15" s="30"/>
      <c r="G15" s="31"/>
      <c r="H15" s="32">
        <f>F15</f>
        <v>0</v>
      </c>
      <c r="I15" s="31">
        <f>E15*H15</f>
        <v>0</v>
      </c>
      <c r="J15" s="33">
        <f>C15</f>
        <v>0</v>
      </c>
      <c r="K15" s="27">
        <f>IF(J15-C15&gt;0,J15-C15,0)</f>
        <v>0</v>
      </c>
      <c r="L15" s="31">
        <f>I15-K15*25%*I15</f>
        <v>0</v>
      </c>
      <c r="M15" s="32"/>
      <c r="N15" s="31">
        <f>I15-M15*25%*I15</f>
        <v>0</v>
      </c>
    </row>
    <row r="16" ht="44.25" customHeight="1" spans="1:14" s="26" customFormat="1" x14ac:dyDescent="0.25">
      <c r="A16" s="27">
        <v>5</v>
      </c>
      <c r="B16" s="28"/>
      <c r="C16" s="29"/>
      <c r="D16" s="30"/>
      <c r="E16" s="31"/>
      <c r="F16" s="30"/>
      <c r="G16" s="31"/>
      <c r="H16" s="32">
        <f>F16</f>
        <v>0</v>
      </c>
      <c r="I16" s="31">
        <f>E16*H16</f>
        <v>0</v>
      </c>
      <c r="J16" s="33">
        <f>C16</f>
        <v>0</v>
      </c>
      <c r="K16" s="27">
        <f>IF(J16-C16&gt;0,J16-C16,0)</f>
        <v>0</v>
      </c>
      <c r="L16" s="31">
        <f>I16-K16*25%*I16</f>
        <v>0</v>
      </c>
      <c r="M16" s="32"/>
      <c r="N16" s="31">
        <f>I16-M16*25%*I16</f>
        <v>0</v>
      </c>
    </row>
    <row r="17" ht="44.25" customHeight="1" spans="1:14" s="26" customFormat="1" x14ac:dyDescent="0.25">
      <c r="A17" s="27">
        <v>6</v>
      </c>
      <c r="B17" s="28"/>
      <c r="C17" s="29"/>
      <c r="D17" s="30"/>
      <c r="E17" s="31"/>
      <c r="F17" s="30"/>
      <c r="G17" s="31"/>
      <c r="H17" s="32">
        <f>F17</f>
        <v>0</v>
      </c>
      <c r="I17" s="31">
        <f>E17*H17</f>
        <v>0</v>
      </c>
      <c r="J17" s="33">
        <f>C17</f>
        <v>0</v>
      </c>
      <c r="K17" s="27">
        <f>IF(J17-C17&gt;0,J17-C17,0)</f>
        <v>0</v>
      </c>
      <c r="L17" s="31">
        <f>I17-K17*25%*I17</f>
        <v>0</v>
      </c>
      <c r="M17" s="32"/>
      <c r="N17" s="31">
        <f>I17-M17*25%*I17</f>
        <v>0</v>
      </c>
    </row>
    <row r="18" ht="44.25" customHeight="1" spans="1:14" s="26" customFormat="1" x14ac:dyDescent="0.25">
      <c r="A18" s="27">
        <v>7</v>
      </c>
      <c r="B18" s="28"/>
      <c r="C18" s="29"/>
      <c r="D18" s="30"/>
      <c r="E18" s="31"/>
      <c r="F18" s="30"/>
      <c r="G18" s="31"/>
      <c r="H18" s="32">
        <f>F18</f>
        <v>0</v>
      </c>
      <c r="I18" s="31">
        <f>E18*H18</f>
        <v>0</v>
      </c>
      <c r="J18" s="33">
        <f>C18</f>
        <v>0</v>
      </c>
      <c r="K18" s="27">
        <f>IF(J18-C18&gt;0,J18-C18,0)</f>
        <v>0</v>
      </c>
      <c r="L18" s="31">
        <f>I18-K18*25%*I18</f>
        <v>0</v>
      </c>
      <c r="M18" s="32"/>
      <c r="N18" s="31">
        <f>I18-M18*25%*I18</f>
        <v>0</v>
      </c>
    </row>
    <row r="19" ht="44.25" customHeight="1" spans="1:14" x14ac:dyDescent="0.25">
      <c r="A19" s="27">
        <v>8</v>
      </c>
      <c r="B19" s="28"/>
      <c r="C19" s="29"/>
      <c r="D19" s="30"/>
      <c r="E19" s="31"/>
      <c r="F19" s="30"/>
      <c r="G19" s="31"/>
      <c r="H19" s="32">
        <f>F19</f>
        <v>0</v>
      </c>
      <c r="I19" s="31">
        <f>E19*H19</f>
        <v>0</v>
      </c>
      <c r="J19" s="33">
        <f>C19</f>
        <v>0</v>
      </c>
      <c r="K19" s="27">
        <f>IF(J19-C19&gt;0,J19-C19,0)</f>
        <v>0</v>
      </c>
      <c r="L19" s="31">
        <f>I19-K19*25%*I19</f>
        <v>0</v>
      </c>
      <c r="M19" s="32"/>
      <c r="N19" s="31">
        <f>I19-M19*25%*I19</f>
        <v>0</v>
      </c>
    </row>
    <row r="20" ht="44.25" customHeight="1" spans="1:14" x14ac:dyDescent="0.25">
      <c r="A20" s="27">
        <v>9</v>
      </c>
      <c r="B20" s="28"/>
      <c r="C20" s="29"/>
      <c r="D20" s="30"/>
      <c r="E20" s="31"/>
      <c r="F20" s="30"/>
      <c r="G20" s="31"/>
      <c r="H20" s="32">
        <f>F20</f>
        <v>0</v>
      </c>
      <c r="I20" s="31">
        <f>E20*H20</f>
        <v>0</v>
      </c>
      <c r="J20" s="33">
        <f>C20</f>
        <v>0</v>
      </c>
      <c r="K20" s="27">
        <f>IF(J20-C20&gt;0,J20-C20,0)</f>
        <v>0</v>
      </c>
      <c r="L20" s="31">
        <f>I20-K20*25%*I20</f>
        <v>0</v>
      </c>
      <c r="M20" s="32"/>
      <c r="N20" s="31">
        <f>I20-M20*25%*I20</f>
        <v>0</v>
      </c>
    </row>
    <row r="21" ht="44.25" customHeight="1" spans="1:14" x14ac:dyDescent="0.25">
      <c r="A21" s="27">
        <v>10</v>
      </c>
      <c r="B21" s="28"/>
      <c r="C21" s="29"/>
      <c r="D21" s="30"/>
      <c r="E21" s="31"/>
      <c r="F21" s="30"/>
      <c r="G21" s="31"/>
      <c r="H21" s="32">
        <f>F21</f>
        <v>0</v>
      </c>
      <c r="I21" s="31">
        <f>E21*H21</f>
        <v>0</v>
      </c>
      <c r="J21" s="33">
        <f>C21</f>
        <v>0</v>
      </c>
      <c r="K21" s="27">
        <f>IF(J21-C21&gt;0,J21-C21,0)</f>
        <v>0</v>
      </c>
      <c r="L21" s="31">
        <f>I21-K21*25%*I21</f>
        <v>0</v>
      </c>
      <c r="M21" s="32"/>
      <c r="N21" s="31">
        <f>I21-M21*25%*I21</f>
        <v>0</v>
      </c>
    </row>
    <row r="22" ht="44.25" customHeight="1" hidden="1" spans="1:14" x14ac:dyDescent="0.25">
      <c r="A22" s="27">
        <v>11</v>
      </c>
      <c r="B22" s="28"/>
      <c r="C22" s="29"/>
      <c r="D22" s="30"/>
      <c r="E22" s="31"/>
      <c r="F22" s="30"/>
      <c r="G22" s="31"/>
      <c r="H22" s="32">
        <f>F22</f>
        <v>0</v>
      </c>
      <c r="I22" s="31">
        <f>E22*H22</f>
        <v>0</v>
      </c>
      <c r="J22" s="33">
        <f>C22</f>
        <v>0</v>
      </c>
      <c r="K22" s="27">
        <f>IF(J22-C22&gt;0,J22-C22,0)</f>
        <v>0</v>
      </c>
      <c r="L22" s="31">
        <f>I22-K22*25%*I22</f>
        <v>0</v>
      </c>
      <c r="M22" s="32"/>
      <c r="N22" s="31">
        <f>I22-M22*25%*I22</f>
        <v>0</v>
      </c>
    </row>
    <row r="23" ht="44.25" customHeight="1" hidden="1" spans="1:14" x14ac:dyDescent="0.25">
      <c r="A23" s="27">
        <v>12</v>
      </c>
      <c r="B23" s="28"/>
      <c r="C23" s="29"/>
      <c r="D23" s="30"/>
      <c r="E23" s="31"/>
      <c r="F23" s="30"/>
      <c r="G23" s="31"/>
      <c r="H23" s="32">
        <f>F23</f>
        <v>0</v>
      </c>
      <c r="I23" s="31">
        <f>E23*H23</f>
        <v>0</v>
      </c>
      <c r="J23" s="33">
        <f>C23</f>
        <v>0</v>
      </c>
      <c r="K23" s="27">
        <f>IF(J23-C23&gt;0,J23-C23,0)</f>
        <v>0</v>
      </c>
      <c r="L23" s="31">
        <f>I23-K23*25%*I23</f>
        <v>0</v>
      </c>
      <c r="M23" s="32"/>
      <c r="N23" s="31">
        <f>I23-M23*25%*I23</f>
        <v>0</v>
      </c>
    </row>
    <row r="24" ht="44.25" customHeight="1" hidden="1" spans="1:14" x14ac:dyDescent="0.25">
      <c r="A24" s="27">
        <v>13</v>
      </c>
      <c r="B24" s="28"/>
      <c r="C24" s="29"/>
      <c r="D24" s="30"/>
      <c r="E24" s="31"/>
      <c r="F24" s="30"/>
      <c r="G24" s="31"/>
      <c r="H24" s="32">
        <f>F24</f>
        <v>0</v>
      </c>
      <c r="I24" s="31">
        <f>E24*H24</f>
        <v>0</v>
      </c>
      <c r="J24" s="33">
        <f>C24</f>
        <v>0</v>
      </c>
      <c r="K24" s="27">
        <f>IF(J24-C24&gt;0,J24-C24,0)</f>
        <v>0</v>
      </c>
      <c r="L24" s="31">
        <f>I24-K24*25%*I24</f>
        <v>0</v>
      </c>
      <c r="M24" s="32"/>
      <c r="N24" s="31">
        <f>I24-M24*25%*I24</f>
        <v>0</v>
      </c>
    </row>
    <row r="25" ht="44.25" customHeight="1" hidden="1" spans="1:14" x14ac:dyDescent="0.25">
      <c r="A25" s="27">
        <v>14</v>
      </c>
      <c r="B25" s="28"/>
      <c r="C25" s="29"/>
      <c r="D25" s="30"/>
      <c r="E25" s="31"/>
      <c r="F25" s="30"/>
      <c r="G25" s="31"/>
      <c r="H25" s="32">
        <f>F25</f>
        <v>0</v>
      </c>
      <c r="I25" s="31">
        <f>E25*H25</f>
        <v>0</v>
      </c>
      <c r="J25" s="33">
        <f>C25</f>
        <v>0</v>
      </c>
      <c r="K25" s="27">
        <f>IF(J25-C25&gt;0,J25-C25,0)</f>
        <v>0</v>
      </c>
      <c r="L25" s="31">
        <f>I25-K25*25%*I25</f>
        <v>0</v>
      </c>
      <c r="M25" s="32"/>
      <c r="N25" s="31">
        <f>I25-M25*25%*I25</f>
        <v>0</v>
      </c>
    </row>
    <row r="26" ht="44.25" customHeight="1" hidden="1" spans="1:14" x14ac:dyDescent="0.25">
      <c r="A26" s="27">
        <v>15</v>
      </c>
      <c r="B26" s="28"/>
      <c r="C26" s="29"/>
      <c r="D26" s="30"/>
      <c r="E26" s="31"/>
      <c r="F26" s="30"/>
      <c r="G26" s="31"/>
      <c r="H26" s="32">
        <f>F26</f>
        <v>0</v>
      </c>
      <c r="I26" s="31">
        <f>E26*H26</f>
        <v>0</v>
      </c>
      <c r="J26" s="33">
        <f>C26</f>
        <v>0</v>
      </c>
      <c r="K26" s="27">
        <f>IF(J26-C26&gt;0,J26-C26,0)</f>
        <v>0</v>
      </c>
      <c r="L26" s="31">
        <f>I26-K26*25%*I26</f>
        <v>0</v>
      </c>
      <c r="M26" s="32"/>
      <c r="N26" s="31">
        <f>I26-M26*25%*I26</f>
        <v>0</v>
      </c>
    </row>
    <row r="27" ht="44.25" customHeight="1" hidden="1" spans="1:14" x14ac:dyDescent="0.25">
      <c r="A27" s="27">
        <v>16</v>
      </c>
      <c r="B27" s="28"/>
      <c r="C27" s="29"/>
      <c r="D27" s="30"/>
      <c r="E27" s="31"/>
      <c r="F27" s="30"/>
      <c r="G27" s="31"/>
      <c r="H27" s="32">
        <f>F27</f>
        <v>0</v>
      </c>
      <c r="I27" s="31">
        <f>E27*H27</f>
        <v>0</v>
      </c>
      <c r="J27" s="33">
        <f>C27</f>
        <v>0</v>
      </c>
      <c r="K27" s="27">
        <f>IF(J27-C27&gt;0,J27-C27,0)</f>
        <v>0</v>
      </c>
      <c r="L27" s="31">
        <f>I27-K27*25%*I27</f>
        <v>0</v>
      </c>
      <c r="M27" s="32"/>
      <c r="N27" s="31">
        <f>I27-M27*25%*I27</f>
        <v>0</v>
      </c>
    </row>
    <row r="28" ht="44.25" customHeight="1" hidden="1" spans="1:14" x14ac:dyDescent="0.25">
      <c r="A28" s="27">
        <v>17</v>
      </c>
      <c r="B28" s="28"/>
      <c r="C28" s="29"/>
      <c r="D28" s="30"/>
      <c r="E28" s="31"/>
      <c r="F28" s="30"/>
      <c r="G28" s="31"/>
      <c r="H28" s="32">
        <f>F28</f>
        <v>0</v>
      </c>
      <c r="I28" s="31">
        <f>E28*H28</f>
        <v>0</v>
      </c>
      <c r="J28" s="33">
        <f>C28</f>
        <v>0</v>
      </c>
      <c r="K28" s="27">
        <f>IF(J28-C28&gt;0,J28-C28,0)</f>
        <v>0</v>
      </c>
      <c r="L28" s="31">
        <f>I28-K28*25%*I28</f>
        <v>0</v>
      </c>
      <c r="M28" s="32"/>
      <c r="N28" s="31">
        <f>I28-M28*25%*I28</f>
        <v>0</v>
      </c>
    </row>
    <row r="29" ht="44.25" customHeight="1" hidden="1" spans="1:14" x14ac:dyDescent="0.25">
      <c r="A29" s="27">
        <v>18</v>
      </c>
      <c r="B29" s="28"/>
      <c r="C29" s="29"/>
      <c r="D29" s="30"/>
      <c r="E29" s="31"/>
      <c r="F29" s="30"/>
      <c r="G29" s="31"/>
      <c r="H29" s="32">
        <f>F29</f>
        <v>0</v>
      </c>
      <c r="I29" s="31">
        <f>E29*H29</f>
        <v>0</v>
      </c>
      <c r="J29" s="33">
        <f>C29</f>
        <v>0</v>
      </c>
      <c r="K29" s="27">
        <f>IF(J29-C29&gt;0,J29-C29,0)</f>
        <v>0</v>
      </c>
      <c r="L29" s="31">
        <f>I29-K29*25%*I29</f>
        <v>0</v>
      </c>
      <c r="M29" s="32"/>
      <c r="N29" s="31">
        <f>I29-M29*25%*I29</f>
        <v>0</v>
      </c>
    </row>
    <row r="30" ht="44.25" customHeight="1" spans="1:14" x14ac:dyDescent="0.25">
      <c r="A30" s="27">
        <v>19</v>
      </c>
      <c r="B30" s="28"/>
      <c r="C30" s="29"/>
      <c r="D30" s="30"/>
      <c r="E30" s="31"/>
      <c r="F30" s="30"/>
      <c r="G30" s="31"/>
      <c r="H30" s="32">
        <f>F30</f>
        <v>0</v>
      </c>
      <c r="I30" s="31">
        <f>E30*H30</f>
        <v>0</v>
      </c>
      <c r="J30" s="33">
        <f>C30</f>
        <v>0</v>
      </c>
      <c r="K30" s="27">
        <f>IF(J30-C30&gt;0,J30-C30,0)</f>
        <v>0</v>
      </c>
      <c r="L30" s="31">
        <f>I30-K30*25%*I30</f>
        <v>0</v>
      </c>
      <c r="M30" s="32"/>
      <c r="N30" s="31">
        <f>I30-M30*25%*I30</f>
        <v>0</v>
      </c>
    </row>
    <row r="31" ht="44.25" customHeight="1" hidden="1" spans="1:14" x14ac:dyDescent="0.25">
      <c r="A31" s="27">
        <v>20</v>
      </c>
      <c r="B31" s="28"/>
      <c r="C31" s="29"/>
      <c r="D31" s="30"/>
      <c r="E31" s="31"/>
      <c r="F31" s="30"/>
      <c r="G31" s="31"/>
      <c r="H31" s="32">
        <f>F31</f>
        <v>0</v>
      </c>
      <c r="I31" s="31">
        <f>E31*H31</f>
        <v>0</v>
      </c>
      <c r="J31" s="33">
        <f>C31</f>
        <v>0</v>
      </c>
      <c r="K31" s="27">
        <f>IF(J31-C31&gt;0,J31-C31,0)</f>
        <v>0</v>
      </c>
      <c r="L31" s="31">
        <f>I31-K31*25%*I31</f>
        <v>0</v>
      </c>
      <c r="M31" s="32"/>
      <c r="N31" s="31">
        <f>I31-M31*25%*I31</f>
        <v>0</v>
      </c>
    </row>
    <row r="32" ht="44.25" customHeight="1" hidden="1" spans="1:14" x14ac:dyDescent="0.25">
      <c r="A32" s="27">
        <v>21</v>
      </c>
      <c r="B32" s="28"/>
      <c r="C32" s="29"/>
      <c r="D32" s="30"/>
      <c r="E32" s="31"/>
      <c r="F32" s="30"/>
      <c r="G32" s="31"/>
      <c r="H32" s="32">
        <f>F32</f>
        <v>0</v>
      </c>
      <c r="I32" s="31">
        <f>E32*H32</f>
        <v>0</v>
      </c>
      <c r="J32" s="33">
        <f>C32</f>
        <v>0</v>
      </c>
      <c r="K32" s="27">
        <f>IF(J32-C32&gt;0,J32-C32,0)</f>
        <v>0</v>
      </c>
      <c r="L32" s="31">
        <f>I32-K32*25%*I32</f>
        <v>0</v>
      </c>
      <c r="M32" s="32"/>
      <c r="N32" s="31">
        <f>I32-M32*25%*I32</f>
        <v>0</v>
      </c>
    </row>
    <row r="33" ht="44.25" customHeight="1" hidden="1" spans="1:14" x14ac:dyDescent="0.25">
      <c r="A33" s="27">
        <v>22</v>
      </c>
      <c r="B33" s="28"/>
      <c r="C33" s="29"/>
      <c r="D33" s="30"/>
      <c r="E33" s="31"/>
      <c r="F33" s="30"/>
      <c r="G33" s="31"/>
      <c r="H33" s="32">
        <f>F33</f>
        <v>0</v>
      </c>
      <c r="I33" s="31">
        <f>E33*H33</f>
        <v>0</v>
      </c>
      <c r="J33" s="33">
        <f>C33</f>
        <v>0</v>
      </c>
      <c r="K33" s="27">
        <f>IF(J33-C33&gt;0,J33-C33,0)</f>
        <v>0</v>
      </c>
      <c r="L33" s="31">
        <f>I33-K33*25%*I33</f>
        <v>0</v>
      </c>
      <c r="M33" s="32"/>
      <c r="N33" s="31">
        <f>I33-M33*25%*I33</f>
        <v>0</v>
      </c>
    </row>
    <row r="34" ht="44.25" customHeight="1" hidden="1" spans="1:14" x14ac:dyDescent="0.25">
      <c r="A34" s="27">
        <v>23</v>
      </c>
      <c r="B34" s="28"/>
      <c r="C34" s="29"/>
      <c r="D34" s="30"/>
      <c r="E34" s="31"/>
      <c r="F34" s="30"/>
      <c r="G34" s="31"/>
      <c r="H34" s="32">
        <f>F34</f>
        <v>0</v>
      </c>
      <c r="I34" s="31">
        <f>E34*H34</f>
        <v>0</v>
      </c>
      <c r="J34" s="33">
        <f>C34</f>
        <v>0</v>
      </c>
      <c r="K34" s="27">
        <f>IF(J34-C34&gt;0,J34-C34,0)</f>
        <v>0</v>
      </c>
      <c r="L34" s="31">
        <f>I34-K34*25%*I34</f>
        <v>0</v>
      </c>
      <c r="M34" s="32"/>
      <c r="N34" s="31">
        <f>I34-M34*25%*I34</f>
        <v>0</v>
      </c>
    </row>
    <row r="35" ht="44.25" customHeight="1" hidden="1" spans="1:14" x14ac:dyDescent="0.25">
      <c r="A35" s="27">
        <v>24</v>
      </c>
      <c r="B35" s="28"/>
      <c r="C35" s="29"/>
      <c r="D35" s="30"/>
      <c r="E35" s="31"/>
      <c r="F35" s="30"/>
      <c r="G35" s="31"/>
      <c r="H35" s="32">
        <f>F35</f>
        <v>0</v>
      </c>
      <c r="I35" s="31">
        <f>E35*H35</f>
        <v>0</v>
      </c>
      <c r="J35" s="33">
        <f>C35</f>
        <v>0</v>
      </c>
      <c r="K35" s="27">
        <f>IF(J35-C35&gt;0,J35-C35,0)</f>
        <v>0</v>
      </c>
      <c r="L35" s="31">
        <f>I35-K35*25%*I35</f>
        <v>0</v>
      </c>
      <c r="M35" s="32"/>
      <c r="N35" s="31">
        <f>I35-M35*25%*I35</f>
        <v>0</v>
      </c>
    </row>
    <row r="36" ht="44.25" customHeight="1" hidden="1" spans="1:14" x14ac:dyDescent="0.25">
      <c r="A36" s="27">
        <v>25</v>
      </c>
      <c r="B36" s="28"/>
      <c r="C36" s="29"/>
      <c r="D36" s="30"/>
      <c r="E36" s="31"/>
      <c r="F36" s="30"/>
      <c r="G36" s="31"/>
      <c r="H36" s="32">
        <f>F36</f>
        <v>0</v>
      </c>
      <c r="I36" s="31">
        <f>E36*H36</f>
        <v>0</v>
      </c>
      <c r="J36" s="33">
        <f>C36</f>
        <v>0</v>
      </c>
      <c r="K36" s="27">
        <f>IF(J36-C36&gt;0,J36-C36,0)</f>
        <v>0</v>
      </c>
      <c r="L36" s="31">
        <f>I36-K36*25%*I36</f>
        <v>0</v>
      </c>
      <c r="M36" s="32"/>
      <c r="N36" s="31">
        <f>I36-M36*25%*I36</f>
        <v>0</v>
      </c>
    </row>
    <row r="37" ht="44.25" customHeight="1" hidden="1" spans="1:14" x14ac:dyDescent="0.25">
      <c r="A37" s="27">
        <v>26</v>
      </c>
      <c r="B37" s="28"/>
      <c r="C37" s="29"/>
      <c r="D37" s="30"/>
      <c r="E37" s="31"/>
      <c r="F37" s="30"/>
      <c r="G37" s="31"/>
      <c r="H37" s="32">
        <f>F37</f>
        <v>0</v>
      </c>
      <c r="I37" s="31">
        <f>E37*H37</f>
        <v>0</v>
      </c>
      <c r="J37" s="33">
        <f>C37</f>
        <v>0</v>
      </c>
      <c r="K37" s="27">
        <f>IF(J37-C37&gt;0,J37-C37,0)</f>
        <v>0</v>
      </c>
      <c r="L37" s="31">
        <f>I37-K37*25%*I37</f>
        <v>0</v>
      </c>
      <c r="M37" s="32"/>
      <c r="N37" s="31">
        <f>I37-M37*25%*I37</f>
        <v>0</v>
      </c>
    </row>
    <row r="38" ht="44.25" customHeight="1" hidden="1" spans="1:14" x14ac:dyDescent="0.25">
      <c r="A38" s="27">
        <v>27</v>
      </c>
      <c r="B38" s="28"/>
      <c r="C38" s="29"/>
      <c r="D38" s="30"/>
      <c r="E38" s="31"/>
      <c r="F38" s="30"/>
      <c r="G38" s="31"/>
      <c r="H38" s="32">
        <f>F38</f>
        <v>0</v>
      </c>
      <c r="I38" s="31">
        <f>E38*H38</f>
        <v>0</v>
      </c>
      <c r="J38" s="33">
        <f>C38</f>
        <v>0</v>
      </c>
      <c r="K38" s="27">
        <f>IF(J38-C38&gt;0,J38-C38,0)</f>
        <v>0</v>
      </c>
      <c r="L38" s="31">
        <f>I38-K38*25%*I38</f>
        <v>0</v>
      </c>
      <c r="M38" s="32"/>
      <c r="N38" s="31">
        <f>I38-M38*25%*I38</f>
        <v>0</v>
      </c>
    </row>
    <row r="39" ht="44.25" customHeight="1" spans="1:14" x14ac:dyDescent="0.25">
      <c r="A39" s="27">
        <v>28</v>
      </c>
      <c r="B39" s="28"/>
      <c r="C39" s="29"/>
      <c r="D39" s="30"/>
      <c r="E39" s="31"/>
      <c r="F39" s="30"/>
      <c r="G39" s="31"/>
      <c r="H39" s="32">
        <f>F39</f>
        <v>0</v>
      </c>
      <c r="I39" s="31">
        <f>E39*H39</f>
        <v>0</v>
      </c>
      <c r="J39" s="33">
        <f>C39</f>
        <v>0</v>
      </c>
      <c r="K39" s="27">
        <f>IF(J39-C39&gt;0,J39-C39,0)</f>
        <v>0</v>
      </c>
      <c r="L39" s="31">
        <f>I39-K39*25%*I39</f>
        <v>0</v>
      </c>
      <c r="M39" s="32"/>
      <c r="N39" s="31">
        <f>I39-M39*25%*I39</f>
        <v>0</v>
      </c>
    </row>
    <row r="40" ht="44.25" customHeight="1" spans="1:14" x14ac:dyDescent="0.25">
      <c r="A40" s="27">
        <v>29</v>
      </c>
      <c r="B40" s="28"/>
      <c r="C40" s="29"/>
      <c r="D40" s="30"/>
      <c r="E40" s="31"/>
      <c r="F40" s="30"/>
      <c r="G40" s="31"/>
      <c r="H40" s="32">
        <f>F40</f>
        <v>0</v>
      </c>
      <c r="I40" s="31">
        <f>E40*H40</f>
        <v>0</v>
      </c>
      <c r="J40" s="33">
        <f>C40</f>
        <v>0</v>
      </c>
      <c r="K40" s="27">
        <f>IF(J40-C40&gt;0,J40-C40,0)</f>
        <v>0</v>
      </c>
      <c r="L40" s="31">
        <f>I40-K40*25%*I40</f>
        <v>0</v>
      </c>
      <c r="M40" s="32"/>
      <c r="N40" s="31">
        <f>I40-M40*25%*I40</f>
        <v>0</v>
      </c>
    </row>
    <row r="41" ht="44.25" customHeight="1" spans="1:14" x14ac:dyDescent="0.25">
      <c r="A41" s="27">
        <v>30</v>
      </c>
      <c r="B41" s="28"/>
      <c r="C41" s="29"/>
      <c r="D41" s="30"/>
      <c r="E41" s="31"/>
      <c r="F41" s="30"/>
      <c r="G41" s="31"/>
      <c r="H41" s="32">
        <f>F41</f>
        <v>0</v>
      </c>
      <c r="I41" s="31">
        <f>E41*H41</f>
        <v>0</v>
      </c>
      <c r="J41" s="33">
        <f>C41</f>
        <v>0</v>
      </c>
      <c r="K41" s="27">
        <f>IF(J41-C41&gt;0,J41-C41,0)</f>
        <v>0</v>
      </c>
      <c r="L41" s="31">
        <f>I41-K41*25%*I41</f>
        <v>0</v>
      </c>
      <c r="M41" s="32"/>
      <c r="N41" s="31">
        <f>I41-M41*25%*I41</f>
        <v>0</v>
      </c>
    </row>
    <row r="42" ht="44.25" customHeight="1" spans="1:14" x14ac:dyDescent="0.25">
      <c r="A42" s="27">
        <v>31</v>
      </c>
      <c r="B42" s="28"/>
      <c r="C42" s="29"/>
      <c r="D42" s="30"/>
      <c r="E42" s="31"/>
      <c r="F42" s="30"/>
      <c r="G42" s="31"/>
      <c r="H42" s="32">
        <f>F42</f>
        <v>0</v>
      </c>
      <c r="I42" s="31">
        <f>E42*H42</f>
        <v>0</v>
      </c>
      <c r="J42" s="33">
        <f>C42</f>
        <v>0</v>
      </c>
      <c r="K42" s="27">
        <f>IF(J42-C42&gt;0,J42-C42,0)</f>
        <v>0</v>
      </c>
      <c r="L42" s="31">
        <f>I42-K42*25%*I42</f>
        <v>0</v>
      </c>
      <c r="M42" s="32"/>
      <c r="N42" s="31">
        <f>I42-M42*25%*I42</f>
        <v>0</v>
      </c>
    </row>
    <row r="43" ht="44.25" customHeight="1" spans="1:14" x14ac:dyDescent="0.25">
      <c r="A43" s="27">
        <v>32</v>
      </c>
      <c r="B43" s="28"/>
      <c r="C43" s="29"/>
      <c r="D43" s="30"/>
      <c r="E43" s="31"/>
      <c r="F43" s="30"/>
      <c r="G43" s="31"/>
      <c r="H43" s="32">
        <f>F43</f>
        <v>0</v>
      </c>
      <c r="I43" s="31">
        <f>E43*H43</f>
        <v>0</v>
      </c>
      <c r="J43" s="33">
        <f>C43</f>
        <v>0</v>
      </c>
      <c r="K43" s="27">
        <f>IF(J43-C43&gt;0,J43-C43,0)</f>
        <v>0</v>
      </c>
      <c r="L43" s="31">
        <f>I43-K43*25%*I43</f>
        <v>0</v>
      </c>
      <c r="M43" s="32"/>
      <c r="N43" s="31">
        <f>I43-M43*25%*I43</f>
        <v>0</v>
      </c>
    </row>
    <row r="44" ht="44.25" customHeight="1" spans="1:14" x14ac:dyDescent="0.25">
      <c r="A44" s="27">
        <v>33</v>
      </c>
      <c r="B44" s="28"/>
      <c r="C44" s="29"/>
      <c r="D44" s="30"/>
      <c r="E44" s="31"/>
      <c r="F44" s="30"/>
      <c r="G44" s="31"/>
      <c r="H44" s="32">
        <f>F44</f>
        <v>0</v>
      </c>
      <c r="I44" s="31">
        <f>E44*H44</f>
        <v>0</v>
      </c>
      <c r="J44" s="33">
        <f>C44</f>
        <v>0</v>
      </c>
      <c r="K44" s="27">
        <f>IF(J44-C44&gt;0,J44-C44,0)</f>
        <v>0</v>
      </c>
      <c r="L44" s="31">
        <f>I44-K44*25%*I44</f>
        <v>0</v>
      </c>
      <c r="M44" s="32"/>
      <c r="N44" s="31">
        <f>I44-M44*25%*I44</f>
        <v>0</v>
      </c>
    </row>
    <row r="45" ht="44.25" customHeight="1" spans="1:14" x14ac:dyDescent="0.25">
      <c r="A45" s="27">
        <v>34</v>
      </c>
      <c r="B45" s="28"/>
      <c r="C45" s="29"/>
      <c r="D45" s="30"/>
      <c r="E45" s="31"/>
      <c r="F45" s="30"/>
      <c r="G45" s="31"/>
      <c r="H45" s="32">
        <f>F45</f>
        <v>0</v>
      </c>
      <c r="I45" s="31">
        <f>E45*H45</f>
        <v>0</v>
      </c>
      <c r="J45" s="33">
        <f>C45</f>
        <v>0</v>
      </c>
      <c r="K45" s="27">
        <f>IF(J45-C45&gt;0,J45-C45,0)</f>
        <v>0</v>
      </c>
      <c r="L45" s="31">
        <f>I45-K45*25%*I45</f>
        <v>0</v>
      </c>
      <c r="M45" s="32"/>
      <c r="N45" s="31">
        <f>I45-M45*25%*I45</f>
        <v>0</v>
      </c>
    </row>
    <row r="46" ht="44.25" customHeight="1" spans="1:14" x14ac:dyDescent="0.25">
      <c r="A46" s="27">
        <v>35</v>
      </c>
      <c r="B46" s="28"/>
      <c r="C46" s="29"/>
      <c r="D46" s="30"/>
      <c r="E46" s="31"/>
      <c r="F46" s="30"/>
      <c r="G46" s="31"/>
      <c r="H46" s="32">
        <f>F46</f>
        <v>0</v>
      </c>
      <c r="I46" s="31">
        <f>E46*H46</f>
        <v>0</v>
      </c>
      <c r="J46" s="33">
        <f>C46</f>
        <v>0</v>
      </c>
      <c r="K46" s="27">
        <f>IF(J46-C46&gt;0,J46-C46,0)</f>
        <v>0</v>
      </c>
      <c r="L46" s="31">
        <f>I46-K46*25%*I46</f>
        <v>0</v>
      </c>
      <c r="M46" s="32"/>
      <c r="N46" s="31">
        <f>I46-M46*25%*I46</f>
        <v>0</v>
      </c>
    </row>
    <row r="47" ht="44.25" customHeight="1" spans="1:14" x14ac:dyDescent="0.25">
      <c r="A47" s="27">
        <v>36</v>
      </c>
      <c r="B47" s="28"/>
      <c r="C47" s="29"/>
      <c r="D47" s="30"/>
      <c r="E47" s="31"/>
      <c r="F47" s="30"/>
      <c r="G47" s="31"/>
      <c r="H47" s="32">
        <f>F47</f>
        <v>0</v>
      </c>
      <c r="I47" s="31">
        <f>E47*H47</f>
        <v>0</v>
      </c>
      <c r="J47" s="33">
        <f>C47</f>
        <v>0</v>
      </c>
      <c r="K47" s="27">
        <f>IF(J47-C47&gt;0,J47-C47,0)</f>
        <v>0</v>
      </c>
      <c r="L47" s="31">
        <f>I47-K47*25%*I47</f>
        <v>0</v>
      </c>
      <c r="M47" s="32"/>
      <c r="N47" s="31">
        <f>I47-M47*25%*I47</f>
        <v>0</v>
      </c>
    </row>
    <row r="48" ht="44.25" customHeight="1" spans="1:14" x14ac:dyDescent="0.25">
      <c r="A48" s="27">
        <v>37</v>
      </c>
      <c r="B48" s="28"/>
      <c r="C48" s="29"/>
      <c r="D48" s="30"/>
      <c r="E48" s="31"/>
      <c r="F48" s="30"/>
      <c r="G48" s="31"/>
      <c r="H48" s="32">
        <f>F48</f>
        <v>0</v>
      </c>
      <c r="I48" s="31">
        <f>E48*H48</f>
        <v>0</v>
      </c>
      <c r="J48" s="33">
        <f>C48</f>
        <v>0</v>
      </c>
      <c r="K48" s="27">
        <f>IF(J48-C48&gt;0,J48-C48,0)</f>
        <v>0</v>
      </c>
      <c r="L48" s="31">
        <f>I48-K48*25%*I48</f>
        <v>0</v>
      </c>
      <c r="M48" s="32"/>
      <c r="N48" s="31">
        <f>I48-M48*25%*I48</f>
        <v>0</v>
      </c>
    </row>
    <row r="49" ht="44.25" customHeight="1" spans="1:14" x14ac:dyDescent="0.25">
      <c r="A49" s="27">
        <v>38</v>
      </c>
      <c r="B49" s="28"/>
      <c r="C49" s="29"/>
      <c r="D49" s="30"/>
      <c r="E49" s="31"/>
      <c r="F49" s="30"/>
      <c r="G49" s="31"/>
      <c r="H49" s="32">
        <f>F49</f>
        <v>0</v>
      </c>
      <c r="I49" s="31">
        <f>E49*H49</f>
        <v>0</v>
      </c>
      <c r="J49" s="33">
        <f>C49</f>
        <v>0</v>
      </c>
      <c r="K49" s="27">
        <f>IF(J49-C49&gt;0,J49-C49,0)</f>
        <v>0</v>
      </c>
      <c r="L49" s="31">
        <f>I49-K49*25%*I49</f>
        <v>0</v>
      </c>
      <c r="M49" s="32"/>
      <c r="N49" s="31">
        <f>I49-M49*25%*I49</f>
        <v>0</v>
      </c>
    </row>
    <row r="50" ht="44.25" customHeight="1" spans="1:14" x14ac:dyDescent="0.25">
      <c r="A50" s="27">
        <v>39</v>
      </c>
      <c r="B50" s="28"/>
      <c r="C50" s="29"/>
      <c r="D50" s="30"/>
      <c r="E50" s="31"/>
      <c r="F50" s="30"/>
      <c r="G50" s="31"/>
      <c r="H50" s="32">
        <f>F50</f>
        <v>0</v>
      </c>
      <c r="I50" s="31">
        <f>E50*H50</f>
        <v>0</v>
      </c>
      <c r="J50" s="33">
        <f>C50</f>
        <v>0</v>
      </c>
      <c r="K50" s="27">
        <f>IF(J50-C50&gt;0,J50-C50,0)</f>
        <v>0</v>
      </c>
      <c r="L50" s="31">
        <f>I50-K50*25%*I50</f>
        <v>0</v>
      </c>
      <c r="M50" s="32"/>
      <c r="N50" s="31">
        <f>I50-M50*25%*I50</f>
        <v>0</v>
      </c>
    </row>
    <row r="51" ht="44.25" customHeight="1" spans="1:14" x14ac:dyDescent="0.25">
      <c r="A51" s="27">
        <v>40</v>
      </c>
      <c r="B51" s="28"/>
      <c r="C51" s="29"/>
      <c r="D51" s="30"/>
      <c r="E51" s="31"/>
      <c r="F51" s="30"/>
      <c r="G51" s="31"/>
      <c r="H51" s="32">
        <f>F51</f>
        <v>0</v>
      </c>
      <c r="I51" s="31">
        <f>E51*H51</f>
        <v>0</v>
      </c>
      <c r="J51" s="33">
        <f>C51</f>
        <v>0</v>
      </c>
      <c r="K51" s="27">
        <f>IF(J51-C51&gt;0,J51-C51,0)</f>
        <v>0</v>
      </c>
      <c r="L51" s="31">
        <f>I51-K51*25%*I51</f>
        <v>0</v>
      </c>
      <c r="M51" s="32"/>
      <c r="N51" s="31">
        <f>I51-M51*25%*I51</f>
        <v>0</v>
      </c>
    </row>
    <row r="52" ht="44.25" customHeight="1" spans="1:14" x14ac:dyDescent="0.25">
      <c r="A52" s="27">
        <v>41</v>
      </c>
      <c r="B52" s="28"/>
      <c r="C52" s="29"/>
      <c r="D52" s="30"/>
      <c r="E52" s="31"/>
      <c r="F52" s="30"/>
      <c r="G52" s="31"/>
      <c r="H52" s="32">
        <f>F52</f>
        <v>0</v>
      </c>
      <c r="I52" s="31">
        <f>E52*H52</f>
        <v>0</v>
      </c>
      <c r="J52" s="33">
        <f>C52</f>
        <v>0</v>
      </c>
      <c r="K52" s="27">
        <f>IF(J52-C52&gt;0,J52-C52,0)</f>
        <v>0</v>
      </c>
      <c r="L52" s="31">
        <f>I52-K52*25%*I52</f>
        <v>0</v>
      </c>
      <c r="M52" s="32"/>
      <c r="N52" s="31">
        <f>I52-M52*25%*I52</f>
        <v>0</v>
      </c>
    </row>
    <row r="53" ht="44.25" customHeight="1" spans="1:14" x14ac:dyDescent="0.25">
      <c r="A53" s="27">
        <v>42</v>
      </c>
      <c r="B53" s="28"/>
      <c r="C53" s="29"/>
      <c r="D53" s="30"/>
      <c r="E53" s="31"/>
      <c r="F53" s="30"/>
      <c r="G53" s="31"/>
      <c r="H53" s="32">
        <f>F53</f>
        <v>0</v>
      </c>
      <c r="I53" s="31">
        <f>E53*H53</f>
        <v>0</v>
      </c>
      <c r="J53" s="33">
        <f>C53</f>
        <v>0</v>
      </c>
      <c r="K53" s="27">
        <f>IF(J53-C53&gt;0,J53-C53,0)</f>
        <v>0</v>
      </c>
      <c r="L53" s="31">
        <f>I53-K53*25%*I53</f>
        <v>0</v>
      </c>
      <c r="M53" s="32"/>
      <c r="N53" s="31">
        <f>I53-M53*25%*I53</f>
        <v>0</v>
      </c>
    </row>
    <row r="54" ht="44.25" customHeight="1" spans="1:14" x14ac:dyDescent="0.25">
      <c r="A54" s="27">
        <v>43</v>
      </c>
      <c r="B54" s="28"/>
      <c r="C54" s="29"/>
      <c r="D54" s="30"/>
      <c r="E54" s="31"/>
      <c r="F54" s="30"/>
      <c r="G54" s="31"/>
      <c r="H54" s="32">
        <f>F54</f>
        <v>0</v>
      </c>
      <c r="I54" s="31">
        <f>E54*H54</f>
        <v>0</v>
      </c>
      <c r="J54" s="33">
        <f>C54</f>
        <v>0</v>
      </c>
      <c r="K54" s="27">
        <f>IF(J54-C54&gt;0,J54-C54,0)</f>
        <v>0</v>
      </c>
      <c r="L54" s="31">
        <f>I54-K54*25%*I54</f>
        <v>0</v>
      </c>
      <c r="M54" s="32"/>
      <c r="N54" s="31">
        <f>I54-M54*25%*I54</f>
        <v>0</v>
      </c>
    </row>
    <row r="55" ht="44.25" customHeight="1" spans="1:14" x14ac:dyDescent="0.25">
      <c r="A55" s="27">
        <v>44</v>
      </c>
      <c r="B55" s="28"/>
      <c r="C55" s="29"/>
      <c r="D55" s="30"/>
      <c r="E55" s="31"/>
      <c r="F55" s="30"/>
      <c r="G55" s="31"/>
      <c r="H55" s="32">
        <f>F55</f>
        <v>0</v>
      </c>
      <c r="I55" s="31">
        <f>E55*H55</f>
        <v>0</v>
      </c>
      <c r="J55" s="33">
        <f>C55</f>
        <v>0</v>
      </c>
      <c r="K55" s="27">
        <f>IF(J55-C55&gt;0,J55-C55,0)</f>
        <v>0</v>
      </c>
      <c r="L55" s="31">
        <f>I55-K55*25%*I55</f>
        <v>0</v>
      </c>
      <c r="M55" s="32"/>
      <c r="N55" s="31">
        <f>I55-M55*25%*I55</f>
        <v>0</v>
      </c>
    </row>
    <row r="56" ht="44.25" customHeight="1" spans="1:14" x14ac:dyDescent="0.25">
      <c r="A56" s="27">
        <v>45</v>
      </c>
      <c r="B56" s="28"/>
      <c r="C56" s="29"/>
      <c r="D56" s="30"/>
      <c r="E56" s="31"/>
      <c r="F56" s="30"/>
      <c r="G56" s="31"/>
      <c r="H56" s="32">
        <f>F56</f>
        <v>0</v>
      </c>
      <c r="I56" s="31">
        <f>E56*H56</f>
        <v>0</v>
      </c>
      <c r="J56" s="33">
        <f>C56</f>
        <v>0</v>
      </c>
      <c r="K56" s="27">
        <f>IF(J56-C56&gt;0,J56-C56,0)</f>
        <v>0</v>
      </c>
      <c r="L56" s="31">
        <f>I56-K56*25%*I56</f>
        <v>0</v>
      </c>
      <c r="M56" s="32"/>
      <c r="N56" s="31">
        <f>I56-M56*25%*I56</f>
        <v>0</v>
      </c>
    </row>
    <row r="57" ht="44.25" customHeight="1" spans="1:14" x14ac:dyDescent="0.25">
      <c r="A57" s="27">
        <v>46</v>
      </c>
      <c r="B57" s="28"/>
      <c r="C57" s="29"/>
      <c r="D57" s="30"/>
      <c r="E57" s="31"/>
      <c r="F57" s="30"/>
      <c r="G57" s="31"/>
      <c r="H57" s="32">
        <f>F57</f>
        <v>0</v>
      </c>
      <c r="I57" s="31">
        <f>E57*H57</f>
        <v>0</v>
      </c>
      <c r="J57" s="33">
        <f>C57</f>
        <v>0</v>
      </c>
      <c r="K57" s="27">
        <f>IF(J57-C57&gt;0,J57-C57,0)</f>
        <v>0</v>
      </c>
      <c r="L57" s="31">
        <f>I57-K57*25%*I57</f>
        <v>0</v>
      </c>
      <c r="M57" s="32"/>
      <c r="N57" s="31">
        <f>I57-M57*25%*I57</f>
        <v>0</v>
      </c>
    </row>
    <row r="58" ht="44.25" customHeight="1" spans="1:14" x14ac:dyDescent="0.25">
      <c r="A58" s="27">
        <v>47</v>
      </c>
      <c r="B58" s="28"/>
      <c r="C58" s="29"/>
      <c r="D58" s="30"/>
      <c r="E58" s="31"/>
      <c r="F58" s="30"/>
      <c r="G58" s="31"/>
      <c r="H58" s="32">
        <f>F58</f>
        <v>0</v>
      </c>
      <c r="I58" s="31">
        <f>E58*H58</f>
        <v>0</v>
      </c>
      <c r="J58" s="33">
        <f>C58</f>
        <v>0</v>
      </c>
      <c r="K58" s="27">
        <f>IF(J58-C58&gt;0,J58-C58,0)</f>
        <v>0</v>
      </c>
      <c r="L58" s="31">
        <f>I58-K58*25%*I58</f>
        <v>0</v>
      </c>
      <c r="M58" s="32"/>
      <c r="N58" s="31">
        <f>I58-M58*25%*I58</f>
        <v>0</v>
      </c>
    </row>
    <row r="59" ht="44.25" customHeight="1" spans="1:14" x14ac:dyDescent="0.25">
      <c r="A59" s="27">
        <v>48</v>
      </c>
      <c r="B59" s="28"/>
      <c r="C59" s="29"/>
      <c r="D59" s="30"/>
      <c r="E59" s="31"/>
      <c r="F59" s="30"/>
      <c r="G59" s="31"/>
      <c r="H59" s="32">
        <f>F59</f>
        <v>0</v>
      </c>
      <c r="I59" s="31">
        <f>E59*H59</f>
        <v>0</v>
      </c>
      <c r="J59" s="33">
        <f>C59</f>
        <v>0</v>
      </c>
      <c r="K59" s="27">
        <f>IF(J59-C59&gt;0,J59-C59,0)</f>
        <v>0</v>
      </c>
      <c r="L59" s="31">
        <f>I59-K59*25%*I59</f>
        <v>0</v>
      </c>
      <c r="M59" s="32"/>
      <c r="N59" s="31">
        <f>I59-M59*25%*I59</f>
        <v>0</v>
      </c>
    </row>
    <row r="60" ht="44.25" customHeight="1" spans="1:14" x14ac:dyDescent="0.25">
      <c r="A60" s="27">
        <v>49</v>
      </c>
      <c r="B60" s="28"/>
      <c r="C60" s="29"/>
      <c r="D60" s="30"/>
      <c r="E60" s="31"/>
      <c r="F60" s="30"/>
      <c r="G60" s="31"/>
      <c r="H60" s="32">
        <f>F60</f>
        <v>0</v>
      </c>
      <c r="I60" s="31">
        <f>E60*H60</f>
        <v>0</v>
      </c>
      <c r="J60" s="33">
        <f>C60</f>
        <v>0</v>
      </c>
      <c r="K60" s="27">
        <f>IF(J60-C60&gt;0,J60-C60,0)</f>
        <v>0</v>
      </c>
      <c r="L60" s="31">
        <f>I60-K60*25%*I60</f>
        <v>0</v>
      </c>
      <c r="M60" s="32"/>
      <c r="N60" s="31">
        <f>I60-M60*25%*I60</f>
        <v>0</v>
      </c>
    </row>
    <row r="61" ht="44.25" customHeight="1" spans="1:14" x14ac:dyDescent="0.25">
      <c r="A61" s="27">
        <v>50</v>
      </c>
      <c r="B61" s="28"/>
      <c r="C61" s="29"/>
      <c r="D61" s="30"/>
      <c r="E61" s="31"/>
      <c r="F61" s="30"/>
      <c r="G61" s="31"/>
      <c r="H61" s="32">
        <f>F61</f>
        <v>0</v>
      </c>
      <c r="I61" s="31">
        <f>E61*H61</f>
        <v>0</v>
      </c>
      <c r="J61" s="33">
        <f>C61</f>
        <v>0</v>
      </c>
      <c r="K61" s="27">
        <f>IF(J61-C61&gt;0,J61-C61,0)</f>
        <v>0</v>
      </c>
      <c r="L61" s="31">
        <f>I61-K61*25%*I61</f>
        <v>0</v>
      </c>
      <c r="M61" s="32"/>
      <c r="N61" s="31">
        <f>I61-M61*25%*I61</f>
        <v>0</v>
      </c>
    </row>
    <row r="62" ht="44.25" customHeight="1" spans="1:14" x14ac:dyDescent="0.25">
      <c r="A62" s="27">
        <v>51</v>
      </c>
      <c r="B62" s="28"/>
      <c r="C62" s="29"/>
      <c r="D62" s="30"/>
      <c r="E62" s="31"/>
      <c r="F62" s="30"/>
      <c r="G62" s="31"/>
      <c r="H62" s="32">
        <f>F62</f>
        <v>0</v>
      </c>
      <c r="I62" s="31">
        <f>E62*H62</f>
        <v>0</v>
      </c>
      <c r="J62" s="33">
        <f>C62</f>
        <v>0</v>
      </c>
      <c r="K62" s="27">
        <f>IF(J62-C62&gt;0,J62-C62,0)</f>
        <v>0</v>
      </c>
      <c r="L62" s="31">
        <f>I62-K62*25%*I62</f>
        <v>0</v>
      </c>
      <c r="M62" s="32"/>
      <c r="N62" s="31">
        <f>I62-M62*25%*I62</f>
        <v>0</v>
      </c>
    </row>
    <row r="63" ht="44.25" customHeight="1" spans="1:14" x14ac:dyDescent="0.25">
      <c r="A63" s="27">
        <v>52</v>
      </c>
      <c r="B63" s="28"/>
      <c r="C63" s="29"/>
      <c r="D63" s="30"/>
      <c r="E63" s="31"/>
      <c r="F63" s="30"/>
      <c r="G63" s="31"/>
      <c r="H63" s="32">
        <f>F63</f>
        <v>0</v>
      </c>
      <c r="I63" s="31">
        <f>E63*H63</f>
        <v>0</v>
      </c>
      <c r="J63" s="33">
        <f>C63</f>
        <v>0</v>
      </c>
      <c r="K63" s="27">
        <f>IF(J63-C63&gt;0,J63-C63,0)</f>
        <v>0</v>
      </c>
      <c r="L63" s="31">
        <f>I63-K63*25%*I63</f>
        <v>0</v>
      </c>
      <c r="M63" s="32"/>
      <c r="N63" s="31">
        <f>I63-M63*25%*I63</f>
        <v>0</v>
      </c>
    </row>
    <row r="64" ht="44.25" customHeight="1" spans="1:14" x14ac:dyDescent="0.25">
      <c r="A64" s="27">
        <v>53</v>
      </c>
      <c r="B64" s="28"/>
      <c r="C64" s="29"/>
      <c r="D64" s="30"/>
      <c r="E64" s="31"/>
      <c r="F64" s="30"/>
      <c r="G64" s="31"/>
      <c r="H64" s="32">
        <f>F64</f>
        <v>0</v>
      </c>
      <c r="I64" s="31">
        <f>E64*H64</f>
        <v>0</v>
      </c>
      <c r="J64" s="33">
        <f>C64</f>
        <v>0</v>
      </c>
      <c r="K64" s="27">
        <f>IF(J64-C64&gt;0,J64-C64,0)</f>
        <v>0</v>
      </c>
      <c r="L64" s="31">
        <f>I64-K64*25%*I64</f>
        <v>0</v>
      </c>
      <c r="M64" s="32"/>
      <c r="N64" s="31">
        <f>I64-M64*25%*I64</f>
        <v>0</v>
      </c>
    </row>
    <row r="65" ht="44.25" customHeight="1" spans="1:14" x14ac:dyDescent="0.25">
      <c r="A65" s="27">
        <v>54</v>
      </c>
      <c r="B65" s="28"/>
      <c r="C65" s="29"/>
      <c r="D65" s="30"/>
      <c r="E65" s="31"/>
      <c r="F65" s="30"/>
      <c r="G65" s="31"/>
      <c r="H65" s="32">
        <f>F65</f>
        <v>0</v>
      </c>
      <c r="I65" s="31">
        <f>E65*H65</f>
        <v>0</v>
      </c>
      <c r="J65" s="33">
        <f>C65</f>
        <v>0</v>
      </c>
      <c r="K65" s="27">
        <f>IF(J65-C65&gt;0,J65-C65,0)</f>
        <v>0</v>
      </c>
      <c r="L65" s="31">
        <f>I65-K65*25%*I65</f>
        <v>0</v>
      </c>
      <c r="M65" s="32"/>
      <c r="N65" s="31">
        <f>I65-M65*25%*I65</f>
        <v>0</v>
      </c>
    </row>
    <row r="66" ht="44.25" customHeight="1" spans="1:14" x14ac:dyDescent="0.25">
      <c r="A66" s="27">
        <v>55</v>
      </c>
      <c r="B66" s="28"/>
      <c r="C66" s="29"/>
      <c r="D66" s="30"/>
      <c r="E66" s="31"/>
      <c r="F66" s="30"/>
      <c r="G66" s="31"/>
      <c r="H66" s="32">
        <f>F66</f>
        <v>0</v>
      </c>
      <c r="I66" s="31">
        <f>E66*H66</f>
        <v>0</v>
      </c>
      <c r="J66" s="33">
        <f>C66</f>
        <v>0</v>
      </c>
      <c r="K66" s="27">
        <f>IF(J66-C66&gt;0,J66-C66,0)</f>
        <v>0</v>
      </c>
      <c r="L66" s="31">
        <f>I66-K66*25%*I66</f>
        <v>0</v>
      </c>
      <c r="M66" s="32"/>
      <c r="N66" s="31">
        <f>I66-M66*25%*I66</f>
        <v>0</v>
      </c>
    </row>
    <row r="67" ht="44.25" customHeight="1" spans="1:14" x14ac:dyDescent="0.25">
      <c r="A67" s="27">
        <v>56</v>
      </c>
      <c r="B67" s="28"/>
      <c r="C67" s="29"/>
      <c r="D67" s="30"/>
      <c r="E67" s="31"/>
      <c r="F67" s="30"/>
      <c r="G67" s="31"/>
      <c r="H67" s="32">
        <f>F67</f>
        <v>0</v>
      </c>
      <c r="I67" s="31">
        <f>E67*H67</f>
        <v>0</v>
      </c>
      <c r="J67" s="33">
        <f>C67</f>
        <v>0</v>
      </c>
      <c r="K67" s="27">
        <f>IF(J67-C67&gt;0,J67-C67,0)</f>
        <v>0</v>
      </c>
      <c r="L67" s="31">
        <f>I67-K67*25%*I67</f>
        <v>0</v>
      </c>
      <c r="M67" s="32"/>
      <c r="N67" s="31">
        <f>I67-M67*25%*I67</f>
        <v>0</v>
      </c>
    </row>
    <row r="68" ht="44.25" customHeight="1" spans="1:14" x14ac:dyDescent="0.25">
      <c r="A68" s="27">
        <v>57</v>
      </c>
      <c r="B68" s="28"/>
      <c r="C68" s="29"/>
      <c r="D68" s="30"/>
      <c r="E68" s="31"/>
      <c r="F68" s="30"/>
      <c r="G68" s="31"/>
      <c r="H68" s="32">
        <f>F68</f>
        <v>0</v>
      </c>
      <c r="I68" s="31">
        <f>E68*H68</f>
        <v>0</v>
      </c>
      <c r="J68" s="33">
        <f>C68</f>
        <v>0</v>
      </c>
      <c r="K68" s="27">
        <f>IF(J68-C68&gt;0,J68-C68,0)</f>
        <v>0</v>
      </c>
      <c r="L68" s="31">
        <f>I68-K68*25%*I68</f>
        <v>0</v>
      </c>
      <c r="M68" s="32"/>
      <c r="N68" s="31">
        <f>I68-M68*25%*I68</f>
        <v>0</v>
      </c>
    </row>
    <row r="69" ht="44.25" customHeight="1" spans="1:14" x14ac:dyDescent="0.25">
      <c r="A69" s="27">
        <v>58</v>
      </c>
      <c r="B69" s="28"/>
      <c r="C69" s="29"/>
      <c r="D69" s="30"/>
      <c r="E69" s="31"/>
      <c r="F69" s="30"/>
      <c r="G69" s="31"/>
      <c r="H69" s="32">
        <f>F69</f>
        <v>0</v>
      </c>
      <c r="I69" s="31">
        <f>E69*H69</f>
        <v>0</v>
      </c>
      <c r="J69" s="33">
        <f>C69</f>
        <v>0</v>
      </c>
      <c r="K69" s="27">
        <f>IF(J69-C69&gt;0,J69-C69,0)</f>
        <v>0</v>
      </c>
      <c r="L69" s="31">
        <f>I69-K69*25%*I69</f>
        <v>0</v>
      </c>
      <c r="M69" s="32"/>
      <c r="N69" s="31">
        <f>I69-M69*25%*I69</f>
        <v>0</v>
      </c>
    </row>
    <row r="70" ht="44.25" customHeight="1" spans="1:14" x14ac:dyDescent="0.25">
      <c r="A70" s="27">
        <v>59</v>
      </c>
      <c r="B70" s="28"/>
      <c r="C70" s="29"/>
      <c r="D70" s="30"/>
      <c r="E70" s="31"/>
      <c r="F70" s="30"/>
      <c r="G70" s="31"/>
      <c r="H70" s="32">
        <f>F70</f>
        <v>0</v>
      </c>
      <c r="I70" s="31">
        <f>E70*H70</f>
        <v>0</v>
      </c>
      <c r="J70" s="33">
        <f>C70</f>
        <v>0</v>
      </c>
      <c r="K70" s="27">
        <f>IF(J70-C70&gt;0,J70-C70,0)</f>
        <v>0</v>
      </c>
      <c r="L70" s="31">
        <f>I70-K70*25%*I70</f>
        <v>0</v>
      </c>
      <c r="M70" s="32"/>
      <c r="N70" s="31">
        <f>I70-M70*25%*I70</f>
        <v>0</v>
      </c>
    </row>
    <row r="71" ht="44.25" customHeight="1" spans="1:14" x14ac:dyDescent="0.25">
      <c r="A71" s="27">
        <v>60</v>
      </c>
      <c r="B71" s="28"/>
      <c r="C71" s="29"/>
      <c r="D71" s="30"/>
      <c r="E71" s="31"/>
      <c r="F71" s="30"/>
      <c r="G71" s="31"/>
      <c r="H71" s="32">
        <f>F71</f>
        <v>0</v>
      </c>
      <c r="I71" s="31">
        <f>E71*H71</f>
        <v>0</v>
      </c>
      <c r="J71" s="33">
        <f>C71</f>
        <v>0</v>
      </c>
      <c r="K71" s="27">
        <f>IF(J71-C71&gt;0,J71-C71,0)</f>
        <v>0</v>
      </c>
      <c r="L71" s="31">
        <f>I71-K71*25%*I71</f>
        <v>0</v>
      </c>
      <c r="M71" s="32"/>
      <c r="N71" s="31">
        <f>I71-M71*25%*I71</f>
        <v>0</v>
      </c>
    </row>
    <row r="72" ht="29.25" customHeight="1" spans="1:14" x14ac:dyDescent="0.25">
      <c r="A72" s="15" t="s">
        <v>39</v>
      </c>
      <c r="B72" s="15"/>
      <c r="C72" s="15"/>
      <c r="D72" s="15"/>
      <c r="E72" s="15"/>
      <c r="F72" s="15"/>
      <c r="G72" s="34">
        <f>SUM(G12:G71)</f>
        <v>0</v>
      </c>
      <c r="H72" s="34">
        <f>SUM(H12:H71)</f>
        <v>0</v>
      </c>
      <c r="I72" s="34">
        <f>SUM(I12:I71)</f>
        <v>0</v>
      </c>
      <c r="J72" s="34"/>
      <c r="K72" s="34"/>
      <c r="L72" s="34">
        <f>SUM(L12:L71)</f>
        <v>0</v>
      </c>
      <c r="M72" s="34">
        <f>SUM(M12:M71)</f>
        <v>0</v>
      </c>
      <c r="N72" s="34">
        <f>SUM(N12:N71)</f>
        <v>0</v>
      </c>
    </row>
    <row r="73" ht="89.25" customHeight="1" spans="1:14" x14ac:dyDescent="0.25">
      <c r="A73" s="35" t="s">
        <v>40</v>
      </c>
      <c r="B73" s="35"/>
      <c r="C73" s="35"/>
      <c r="D73" s="35"/>
      <c r="E73" s="35"/>
      <c r="F73" s="35"/>
      <c r="G73" s="35"/>
      <c r="H73" s="36"/>
      <c r="I73" s="37">
        <f>+I72/G72*100</f>
        <v>0</v>
      </c>
      <c r="J73" s="23" t="s">
        <v>41</v>
      </c>
      <c r="K73" s="23"/>
      <c r="L73" s="38">
        <f>(L72/G72)*100</f>
        <v>0</v>
      </c>
      <c r="M73" s="39" t="s">
        <v>42</v>
      </c>
      <c r="N73" s="38">
        <f>N72/G72*100</f>
        <v>0</v>
      </c>
    </row>
    <row r="74" ht="29.25" customHeight="1" spans="1:1" x14ac:dyDescent="0.25">
      <c r="A74" s="1"/>
    </row>
    <row r="75" ht="38.25" customHeight="1" spans="1:1" x14ac:dyDescent="0.25">
      <c r="A75" s="40" t="s">
        <v>43</v>
      </c>
    </row>
    <row r="76" ht="84" customHeight="1" spans="1:8" x14ac:dyDescent="0.25">
      <c r="A76" s="41" t="s">
        <v>44</v>
      </c>
      <c r="B76" s="41"/>
      <c r="C76" s="41"/>
      <c r="D76" s="41"/>
      <c r="E76" s="41"/>
      <c r="F76" s="41"/>
      <c r="G76" s="41"/>
      <c r="H76" s="41"/>
    </row>
    <row r="77" ht="97.5" customHeight="1" spans="1:14" x14ac:dyDescent="0.25">
      <c r="A77" s="42" t="s">
        <v>45</v>
      </c>
      <c r="B77" s="42"/>
      <c r="C77" s="42"/>
      <c r="D77" s="42"/>
      <c r="E77" s="43"/>
      <c r="F77" s="43"/>
      <c r="G77" s="43"/>
      <c r="H77" s="43"/>
      <c r="I77" s="44"/>
      <c r="J77" s="43"/>
      <c r="K77" s="43"/>
      <c r="L77" s="44"/>
      <c r="M77" s="44"/>
      <c r="N77" s="44"/>
    </row>
    <row r="78" ht="51.75" customHeight="1" spans="1:9" x14ac:dyDescent="0.25">
      <c r="A78" s="45" t="s">
        <v>6</v>
      </c>
      <c r="B78" s="46" t="s">
        <v>46</v>
      </c>
      <c r="C78" s="38" t="s">
        <v>47</v>
      </c>
      <c r="D78" s="47" t="s">
        <v>48</v>
      </c>
      <c r="E78" s="48" t="s">
        <v>49</v>
      </c>
      <c r="F78" s="48"/>
      <c r="G78" s="48"/>
      <c r="H78" s="48"/>
      <c r="I78" s="5" t="s">
        <v>50</v>
      </c>
    </row>
    <row r="79" ht="50.25" customHeight="1" spans="1:8" x14ac:dyDescent="0.25">
      <c r="A79" s="49" t="s">
        <v>51</v>
      </c>
      <c r="B79" s="50" t="s">
        <v>52</v>
      </c>
      <c r="C79" s="51" t="s">
        <v>53</v>
      </c>
      <c r="D79" s="52">
        <f>H73</f>
      </c>
      <c r="E79" s="48"/>
      <c r="F79" s="48"/>
      <c r="G79" s="48"/>
      <c r="H79" s="48"/>
    </row>
    <row r="80" ht="55.5" customHeight="1" spans="1:8" x14ac:dyDescent="0.25">
      <c r="A80" s="49" t="s">
        <v>54</v>
      </c>
      <c r="B80" s="50" t="s">
        <v>55</v>
      </c>
      <c r="C80" s="51" t="s">
        <v>53</v>
      </c>
      <c r="D80" s="52">
        <f>L73</f>
        <v>81.20302938644454</v>
      </c>
      <c r="E80" s="48"/>
      <c r="F80" s="48"/>
      <c r="G80" s="48"/>
      <c r="H80" s="48"/>
    </row>
    <row r="81" ht="59.25" customHeight="1" spans="1:8" x14ac:dyDescent="0.25">
      <c r="A81" s="49" t="s">
        <v>56</v>
      </c>
      <c r="B81" s="50" t="s">
        <v>57</v>
      </c>
      <c r="C81" s="51" t="s">
        <v>53</v>
      </c>
      <c r="D81" s="52">
        <f>N73</f>
        <v>100</v>
      </c>
      <c r="E81" s="48"/>
      <c r="F81" s="48"/>
      <c r="G81" s="48"/>
      <c r="H81" s="48"/>
    </row>
    <row r="82" ht="23.25" customHeight="1" spans="1:8" x14ac:dyDescent="0.25">
      <c r="A82" s="53" t="s">
        <v>58</v>
      </c>
      <c r="B82" s="53"/>
      <c r="C82" s="54" t="s">
        <v>53</v>
      </c>
      <c r="D82" s="55">
        <f>SUM(D79:D81)/3</f>
        <v>60.401009795481514</v>
      </c>
      <c r="E82" s="48"/>
      <c r="F82" s="48"/>
      <c r="G82" s="48"/>
      <c r="H82" s="48"/>
    </row>
    <row r="83" ht="23.25" customHeight="1" spans="1:4" x14ac:dyDescent="0.25">
      <c r="A83" s="56"/>
      <c r="B83" s="56"/>
      <c r="C83" s="57"/>
      <c r="D83" s="58"/>
    </row>
    <row r="84" ht="74.25" customHeight="1" spans="1:9" x14ac:dyDescent="0.25">
      <c r="A84" s="59" t="s">
        <v>59</v>
      </c>
      <c r="B84" s="59"/>
      <c r="C84" s="59"/>
      <c r="D84" s="59"/>
      <c r="E84" s="59"/>
      <c r="F84" s="59"/>
      <c r="G84" s="59"/>
      <c r="H84" s="59"/>
      <c r="I84" s="59"/>
    </row>
    <row r="85" ht="15.75" customHeight="1" spans="1:4" x14ac:dyDescent="0.25">
      <c r="A85" s="45" t="s">
        <v>6</v>
      </c>
      <c r="B85" s="46" t="s">
        <v>46</v>
      </c>
      <c r="C85" s="38" t="s">
        <v>47</v>
      </c>
      <c r="D85" s="47" t="s">
        <v>48</v>
      </c>
    </row>
    <row r="86" ht="51.75" customHeight="1" spans="1:4" x14ac:dyDescent="0.25">
      <c r="A86" s="45" t="s">
        <v>51</v>
      </c>
      <c r="B86" s="60" t="s">
        <v>52</v>
      </c>
      <c r="C86" s="51" t="s">
        <v>53</v>
      </c>
      <c r="D86" s="61"/>
    </row>
    <row r="87" ht="49.5" customHeight="1" spans="1:14" s="5" customFormat="1" x14ac:dyDescent="0.25">
      <c r="A87" s="45" t="s">
        <v>54</v>
      </c>
      <c r="B87" s="60" t="s">
        <v>55</v>
      </c>
      <c r="C87" s="51" t="s">
        <v>53</v>
      </c>
      <c r="D87" s="61"/>
      <c r="E87" s="5"/>
      <c r="F87" s="5"/>
      <c r="G87" s="5"/>
      <c r="H87" s="5"/>
      <c r="I87" s="5"/>
      <c r="J87" s="3"/>
      <c r="K87" s="1"/>
      <c r="L87" s="6"/>
      <c r="M87" s="6"/>
      <c r="N87" s="6"/>
    </row>
    <row r="88" ht="48" customHeight="1" spans="1:14" s="5" customFormat="1" x14ac:dyDescent="0.25">
      <c r="A88" s="45" t="s">
        <v>56</v>
      </c>
      <c r="B88" s="60" t="s">
        <v>57</v>
      </c>
      <c r="C88" s="51" t="s">
        <v>53</v>
      </c>
      <c r="D88" s="62"/>
      <c r="E88" s="5"/>
      <c r="F88" s="5"/>
      <c r="G88" s="5"/>
      <c r="H88" s="5"/>
      <c r="I88" s="5"/>
      <c r="J88" s="3"/>
      <c r="K88" s="1"/>
      <c r="L88" s="6"/>
      <c r="M88" s="6"/>
      <c r="N88" s="6"/>
    </row>
    <row r="89" ht="74.25" customHeight="1" spans="1:14" s="5" customFormat="1" x14ac:dyDescent="0.25">
      <c r="A89" s="63" t="s">
        <v>60</v>
      </c>
      <c r="B89" s="64" t="s">
        <v>61</v>
      </c>
      <c r="C89" s="51" t="s">
        <v>53</v>
      </c>
      <c r="D89" s="62"/>
      <c r="E89" s="5"/>
      <c r="F89" s="5"/>
      <c r="G89" s="5"/>
      <c r="H89" s="5"/>
      <c r="I89" s="5"/>
      <c r="J89" s="3"/>
      <c r="K89" s="1"/>
      <c r="L89" s="6"/>
      <c r="M89" s="6"/>
      <c r="N89" s="6"/>
    </row>
    <row r="90" ht="102" customHeight="1" spans="1:14" s="5" customFormat="1" x14ac:dyDescent="0.25">
      <c r="A90" s="63" t="s">
        <v>62</v>
      </c>
      <c r="B90" s="64" t="s">
        <v>63</v>
      </c>
      <c r="C90" s="51" t="s">
        <v>53</v>
      </c>
      <c r="D90" s="62"/>
      <c r="E90" s="5"/>
      <c r="F90" s="5"/>
      <c r="G90" s="5"/>
      <c r="H90" s="5"/>
      <c r="I90" s="5"/>
      <c r="J90" s="3"/>
      <c r="K90" s="1"/>
      <c r="L90" s="6"/>
      <c r="M90" s="6"/>
      <c r="N90" s="6"/>
    </row>
    <row r="91" ht="64.5" customHeight="1" spans="1:14" s="5" customFormat="1" x14ac:dyDescent="0.25">
      <c r="A91" s="63" t="s">
        <v>64</v>
      </c>
      <c r="B91" s="64" t="s">
        <v>65</v>
      </c>
      <c r="C91" s="51" t="s">
        <v>53</v>
      </c>
      <c r="D91" s="62"/>
      <c r="E91" s="5"/>
      <c r="F91" s="5"/>
      <c r="G91" s="5"/>
      <c r="H91" s="5"/>
      <c r="I91" s="5"/>
      <c r="J91" s="3"/>
      <c r="K91" s="1"/>
      <c r="L91" s="6"/>
      <c r="M91" s="6"/>
      <c r="N91" s="6"/>
    </row>
  </sheetData>
  <mergeCells count="19">
    <mergeCell ref="A1:D1"/>
    <mergeCell ref="A2:D2"/>
    <mergeCell ref="K6:N6"/>
    <mergeCell ref="E7:N7"/>
    <mergeCell ref="C8:G9"/>
    <mergeCell ref="H8:N8"/>
    <mergeCell ref="A8:A10"/>
    <mergeCell ref="B8:B10"/>
    <mergeCell ref="H9:I9"/>
    <mergeCell ref="J9:L9"/>
    <mergeCell ref="M9:N9"/>
    <mergeCell ref="A72:F72"/>
    <mergeCell ref="A73:G73"/>
    <mergeCell ref="J73:K73"/>
    <mergeCell ref="A76:H76"/>
    <mergeCell ref="A77:D77"/>
    <mergeCell ref="E78:H82"/>
    <mergeCell ref="A82:B82"/>
    <mergeCell ref="A84:I84"/>
  </mergeCells>
  <pageMargins left="0.7" right="0.7" top="0.75" bottom="0.75" header="0.3" footer="0.3"/>
  <pageSetup paperSize="9" orientation="landscape"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7"/>
  <sheetViews>
    <sheetView workbookViewId="0" zoomScale="85" zoomScaleNormal="85">
      <selection activeCell="D41" sqref="D41"/>
    </sheetView>
  </sheetViews>
  <sheetFormatPr defaultRowHeight="15" outlineLevelRow="0" outlineLevelCol="0" x14ac:dyDescent="0.25" defaultColWidth="9"/>
  <cols>
    <col min="1" max="1" width="4.125" style="65" customWidth="1"/>
    <col min="2" max="2" width="66" style="65" customWidth="1"/>
    <col min="3" max="3" width="9" style="65" customWidth="1"/>
    <col min="4" max="4" width="10" style="65" customWidth="1"/>
    <col min="5" max="16384" width="9" style="65" customWidth="1"/>
  </cols>
  <sheetData>
    <row r="1" ht="18.75" customHeight="1" spans="3:4" x14ac:dyDescent="0.25">
      <c r="C1" s="66" t="s">
        <v>66</v>
      </c>
      <c r="D1" s="66"/>
    </row>
    <row r="2" ht="16.5" customHeight="1" spans="1:1" x14ac:dyDescent="0.25">
      <c r="A2" s="67" t="s">
        <v>67</v>
      </c>
    </row>
    <row r="3" ht="16.5" customHeight="1" spans="1:4" x14ac:dyDescent="0.25">
      <c r="A3" s="68" t="s">
        <v>68</v>
      </c>
      <c r="B3" s="69"/>
      <c r="C3" s="69"/>
      <c r="D3" s="69"/>
    </row>
    <row r="5" ht="18.75" customHeight="1" spans="1:4" x14ac:dyDescent="0.25">
      <c r="A5" s="70" t="s">
        <v>69</v>
      </c>
      <c r="B5" s="70"/>
      <c r="C5" s="70"/>
      <c r="D5" s="70"/>
    </row>
    <row r="6" ht="18.75" customHeight="1" spans="1:4" x14ac:dyDescent="0.25">
      <c r="A6" s="71" t="s">
        <v>70</v>
      </c>
      <c r="B6" s="71"/>
      <c r="C6" s="71"/>
      <c r="D6" s="71"/>
    </row>
    <row r="7" ht="19.5" customHeight="1" spans="1:4" x14ac:dyDescent="0.25">
      <c r="A7" s="72" t="s">
        <v>71</v>
      </c>
      <c r="B7" s="72"/>
      <c r="C7" s="72"/>
      <c r="D7" s="72"/>
    </row>
    <row r="8" ht="18.75" customHeight="1" spans="2:2" x14ac:dyDescent="0.25">
      <c r="B8" s="73" t="str">
        <f>'Bảng 1 (tính điểm CC)'!A4</f>
        <v>Họ và tên: Nguyễn Hải Yên</v>
      </c>
    </row>
    <row r="9" ht="18.75" customHeight="1" spans="2:2" x14ac:dyDescent="0.25">
      <c r="B9" s="73" t="str">
        <f>'Bảng 1 (tính điểm CC)'!A5</f>
        <v>Vị trí việc làm/nhiệm vụ được phân công chuyên trách: Giám sát quản lý hải quan</v>
      </c>
    </row>
    <row r="10" ht="18.75" customHeight="1" spans="2:2" x14ac:dyDescent="0.25">
      <c r="B10" s="74" t="s">
        <v>72</v>
      </c>
    </row>
    <row r="12" ht="18.75" customHeight="1" spans="2:2" x14ac:dyDescent="0.25">
      <c r="B12" s="75" t="s">
        <v>73</v>
      </c>
    </row>
    <row r="13" ht="47.25" customHeight="1" spans="1:4" x14ac:dyDescent="0.25">
      <c r="A13" s="76" t="s">
        <v>74</v>
      </c>
      <c r="B13" s="76" t="s">
        <v>75</v>
      </c>
      <c r="C13" s="76" t="s">
        <v>76</v>
      </c>
      <c r="D13" s="76" t="s">
        <v>77</v>
      </c>
    </row>
    <row r="14" ht="15.75" customHeight="1" spans="1:4" x14ac:dyDescent="0.25">
      <c r="A14" s="77" t="s">
        <v>25</v>
      </c>
      <c r="B14" s="77" t="s">
        <v>26</v>
      </c>
      <c r="C14" s="77" t="s">
        <v>27</v>
      </c>
      <c r="D14" s="77" t="s">
        <v>28</v>
      </c>
    </row>
    <row r="15" ht="45.75" customHeight="1" spans="1:4" x14ac:dyDescent="0.25">
      <c r="A15" s="78" t="s">
        <v>78</v>
      </c>
      <c r="B15" s="79" t="s">
        <v>79</v>
      </c>
      <c r="C15" s="78"/>
      <c r="D15" s="78">
        <f>D16+D17</f>
        <v>10</v>
      </c>
    </row>
    <row r="16" ht="39.75" customHeight="1" spans="1:4" x14ac:dyDescent="0.25">
      <c r="A16" s="77"/>
      <c r="B16" s="80" t="s">
        <v>80</v>
      </c>
      <c r="C16" s="77"/>
      <c r="D16" s="77"/>
    </row>
    <row r="17" ht="32.25" customHeight="1" spans="1:4" x14ac:dyDescent="0.25">
      <c r="A17" s="77"/>
      <c r="B17" s="80" t="s">
        <v>81</v>
      </c>
      <c r="C17" s="77"/>
      <c r="D17" s="77"/>
    </row>
    <row r="18" ht="83.25" customHeight="1" spans="1:4" x14ac:dyDescent="0.25">
      <c r="A18" s="78" t="s">
        <v>82</v>
      </c>
      <c r="B18" s="79" t="s">
        <v>83</v>
      </c>
      <c r="C18" s="78"/>
      <c r="D18" s="78">
        <f>D19+D20+D21+D22</f>
        <v>10</v>
      </c>
    </row>
    <row r="19" ht="30" customHeight="1" spans="1:4" x14ac:dyDescent="0.25">
      <c r="A19" s="77"/>
      <c r="B19" s="80" t="s">
        <v>84</v>
      </c>
      <c r="C19" s="77"/>
      <c r="D19" s="77"/>
    </row>
    <row r="20" ht="45" customHeight="1" spans="1:4" x14ac:dyDescent="0.25">
      <c r="A20" s="77"/>
      <c r="B20" s="80" t="s">
        <v>85</v>
      </c>
      <c r="C20" s="77"/>
      <c r="D20" s="77"/>
    </row>
    <row r="21" ht="31.5" customHeight="1" spans="1:4" x14ac:dyDescent="0.25">
      <c r="A21" s="77"/>
      <c r="B21" s="80" t="s">
        <v>86</v>
      </c>
      <c r="C21" s="77"/>
      <c r="D21" s="77"/>
    </row>
    <row r="22" ht="39.75" customHeight="1" spans="1:4" x14ac:dyDescent="0.25">
      <c r="A22" s="77"/>
      <c r="B22" s="80" t="s">
        <v>87</v>
      </c>
      <c r="C22" s="77"/>
      <c r="D22" s="77"/>
    </row>
    <row r="23" ht="46.5" customHeight="1" spans="1:4" x14ac:dyDescent="0.25">
      <c r="A23" s="78" t="s">
        <v>88</v>
      </c>
      <c r="B23" s="79" t="s">
        <v>89</v>
      </c>
      <c r="C23" s="78"/>
      <c r="D23" s="78">
        <f>D24+D25+D26+D27</f>
        <v>8.5</v>
      </c>
    </row>
    <row r="24" ht="52.5" customHeight="1" spans="1:4" x14ac:dyDescent="0.25">
      <c r="A24" s="77"/>
      <c r="B24" s="80" t="s">
        <v>90</v>
      </c>
      <c r="C24" s="77"/>
      <c r="D24" s="77"/>
    </row>
    <row r="25" ht="45.75" customHeight="1" spans="1:4" x14ac:dyDescent="0.25">
      <c r="A25" s="77"/>
      <c r="B25" s="80" t="s">
        <v>91</v>
      </c>
      <c r="C25" s="77"/>
      <c r="D25" s="77"/>
    </row>
    <row r="26" ht="50.25" customHeight="1" spans="1:4" x14ac:dyDescent="0.25">
      <c r="A26" s="77"/>
      <c r="B26" s="80" t="s">
        <v>92</v>
      </c>
      <c r="C26" s="77"/>
      <c r="D26" s="77"/>
    </row>
    <row r="27" ht="43.5" customHeight="1" spans="1:4" x14ac:dyDescent="0.25">
      <c r="A27" s="77"/>
      <c r="B27" s="80" t="s">
        <v>93</v>
      </c>
      <c r="C27" s="77"/>
      <c r="D27" s="77"/>
    </row>
    <row r="28" ht="24.75" customHeight="1" spans="1:4" x14ac:dyDescent="0.25">
      <c r="A28" s="81" t="s">
        <v>94</v>
      </c>
      <c r="B28" s="81"/>
      <c r="C28" s="82"/>
      <c r="D28" s="82">
        <f>D23+D18+D15</f>
        <v>28.5</v>
      </c>
    </row>
    <row r="30" ht="30" customHeight="1" spans="2:2" x14ac:dyDescent="0.25">
      <c r="B30" s="75" t="s">
        <v>95</v>
      </c>
    </row>
    <row r="31" ht="26.25" customHeight="1" spans="2:4" x14ac:dyDescent="0.25">
      <c r="B31" s="75" t="s">
        <v>96</v>
      </c>
      <c r="C31" s="83">
        <f>D28</f>
        <v>28.5</v>
      </c>
      <c r="D31" s="83"/>
    </row>
    <row r="32" ht="18.75" customHeight="1" spans="2:4" x14ac:dyDescent="0.25">
      <c r="B32" s="84" t="s">
        <v>97</v>
      </c>
      <c r="C32" s="85"/>
      <c r="D32" s="85"/>
    </row>
    <row r="33" ht="27.75" customHeight="1" spans="2:4" x14ac:dyDescent="0.25">
      <c r="B33" s="75" t="s">
        <v>98</v>
      </c>
      <c r="C33" s="85"/>
      <c r="D33" s="86">
        <f>D38</f>
        <v>65.61404019017039</v>
      </c>
    </row>
    <row r="34" ht="21.75" customHeight="1" spans="2:4" x14ac:dyDescent="0.25">
      <c r="B34" s="74" t="s">
        <v>99</v>
      </c>
      <c r="C34" s="85"/>
      <c r="D34" s="87">
        <f>+'Bảng 1 (tính điểm CC)'!I73</f>
        <v>100</v>
      </c>
    </row>
    <row r="35" ht="21.75" customHeight="1" spans="2:4" x14ac:dyDescent="0.25">
      <c r="B35" s="74" t="s">
        <v>100</v>
      </c>
      <c r="C35" s="85"/>
      <c r="D35" s="87">
        <f>'Bảng 1 (tính điểm CC)'!L73</f>
        <v>81.20302938644454</v>
      </c>
    </row>
    <row r="36" ht="21.75" customHeight="1" spans="2:4" x14ac:dyDescent="0.25">
      <c r="B36" s="74" t="s">
        <v>101</v>
      </c>
      <c r="C36" s="85"/>
      <c r="D36" s="87">
        <f>+'Bảng 1 (tính điểm CC)'!N73</f>
        <v>100</v>
      </c>
    </row>
    <row r="37" ht="21.75" customHeight="1" spans="2:4" x14ac:dyDescent="0.25">
      <c r="B37" s="74" t="s">
        <v>102</v>
      </c>
      <c r="C37" s="85"/>
      <c r="D37" s="88">
        <f>(D34+D35+D36)/3</f>
        <v>93.73434312881484</v>
      </c>
    </row>
    <row r="38" ht="21.75" customHeight="1" spans="2:4" x14ac:dyDescent="0.25">
      <c r="B38" s="84" t="s">
        <v>103</v>
      </c>
      <c r="C38" s="85"/>
      <c r="D38" s="89">
        <f>D37*70/100</f>
        <v>65.61404019017039</v>
      </c>
    </row>
    <row r="39" ht="29.25" customHeight="1" spans="2:4" x14ac:dyDescent="0.25">
      <c r="B39" s="75" t="s">
        <v>104</v>
      </c>
      <c r="C39" s="85"/>
      <c r="D39" s="86">
        <f>D33+C31</f>
        <v>94.11404019017039</v>
      </c>
    </row>
    <row r="40" ht="24" customHeight="1" spans="1:4" x14ac:dyDescent="0.25">
      <c r="A40" s="90"/>
      <c r="B40" s="91" t="s">
        <v>105</v>
      </c>
      <c r="C40" s="90"/>
      <c r="D40" s="90"/>
    </row>
    <row r="41" ht="18.75" customHeight="1" spans="1:4" x14ac:dyDescent="0.25">
      <c r="A41" s="90" t="s">
        <v>106</v>
      </c>
      <c r="B41" s="92"/>
      <c r="C41" s="90"/>
      <c r="D41" s="90"/>
    </row>
    <row r="42" ht="18.75" customHeight="1" spans="1:4" x14ac:dyDescent="0.25">
      <c r="A42" s="90" t="s">
        <v>106</v>
      </c>
      <c r="B42" s="92"/>
      <c r="C42" s="90"/>
      <c r="D42" s="90"/>
    </row>
    <row r="43" ht="18.75" customHeight="1" spans="1:4" x14ac:dyDescent="0.25">
      <c r="A43" s="90"/>
      <c r="B43" s="91" t="s">
        <v>107</v>
      </c>
      <c r="C43" s="90"/>
      <c r="D43" s="90"/>
    </row>
    <row r="44" ht="18.75" customHeight="1" spans="1:4" x14ac:dyDescent="0.25">
      <c r="A44" s="90" t="s">
        <v>106</v>
      </c>
      <c r="B44" s="92"/>
      <c r="C44" s="90"/>
      <c r="D44" s="90"/>
    </row>
    <row r="45" ht="18.75" customHeight="1" spans="1:4" x14ac:dyDescent="0.25">
      <c r="A45" s="90" t="s">
        <v>106</v>
      </c>
      <c r="B45" s="92"/>
      <c r="C45" s="90"/>
      <c r="D45" s="90"/>
    </row>
    <row r="46" ht="18.75" customHeight="1" spans="1:4" x14ac:dyDescent="0.25">
      <c r="A46" s="90"/>
      <c r="B46" s="91" t="s">
        <v>108</v>
      </c>
      <c r="C46" s="90"/>
      <c r="D46" s="90"/>
    </row>
    <row r="47" ht="18.75" customHeight="1" spans="1:4" x14ac:dyDescent="0.25">
      <c r="A47" s="90" t="s">
        <v>106</v>
      </c>
      <c r="B47" s="93"/>
      <c r="C47" s="90"/>
      <c r="D47" s="90"/>
    </row>
    <row r="48" ht="18.75" customHeight="1" spans="1:4" x14ac:dyDescent="0.25">
      <c r="A48" s="90" t="s">
        <v>106</v>
      </c>
      <c r="B48" s="93"/>
      <c r="C48" s="90"/>
      <c r="D48" s="90"/>
    </row>
    <row r="49" ht="18.75" customHeight="1" spans="1:4" x14ac:dyDescent="0.25">
      <c r="A49" s="94" t="s">
        <v>109</v>
      </c>
      <c r="B49" s="90"/>
      <c r="C49" s="90"/>
      <c r="D49" s="90"/>
    </row>
    <row r="50" ht="24" customHeight="1" spans="1:4" x14ac:dyDescent="0.25">
      <c r="A50" s="95" t="s">
        <v>110</v>
      </c>
      <c r="B50" s="90"/>
      <c r="C50" s="90"/>
      <c r="D50" s="90"/>
    </row>
    <row r="51" ht="18.75" customHeight="1" spans="1:4" x14ac:dyDescent="0.25">
      <c r="A51" s="94" t="s">
        <v>111</v>
      </c>
      <c r="B51" s="90"/>
      <c r="C51" s="90"/>
      <c r="D51" s="90"/>
    </row>
    <row r="52" ht="20.25" customHeight="1" spans="1:4" x14ac:dyDescent="0.25">
      <c r="A52" s="94" t="s">
        <v>112</v>
      </c>
      <c r="B52" s="90"/>
      <c r="C52" s="90"/>
      <c r="D52" s="90"/>
    </row>
    <row r="53" ht="19.5" customHeight="1" spans="1:2" x14ac:dyDescent="0.25">
      <c r="A53" s="65" t="s">
        <v>113</v>
      </c>
      <c r="B53" s="96"/>
    </row>
    <row r="54" ht="19.5" customHeight="1" spans="2:2" x14ac:dyDescent="0.25">
      <c r="B54" s="96"/>
    </row>
    <row r="55" ht="18.75" customHeight="1" spans="1:4" x14ac:dyDescent="0.25">
      <c r="A55" s="97"/>
      <c r="B55" s="98"/>
      <c r="C55" s="98"/>
      <c r="D55" s="98"/>
    </row>
    <row r="56" ht="20.25" customHeight="1" spans="1:4" x14ac:dyDescent="0.25">
      <c r="A56" s="99"/>
      <c r="B56" s="68"/>
      <c r="C56" s="68"/>
      <c r="D56" s="68"/>
    </row>
    <row r="57" ht="18.75" customHeight="1" spans="1:1" x14ac:dyDescent="0.25">
      <c r="A57" s="100" t="s">
        <v>114</v>
      </c>
    </row>
  </sheetData>
  <mergeCells count="6">
    <mergeCell ref="C1:D1"/>
    <mergeCell ref="A5:D5"/>
    <mergeCell ref="A6:D6"/>
    <mergeCell ref="A7:D7"/>
    <mergeCell ref="A28:B28"/>
    <mergeCell ref="C31:D31"/>
  </mergeCells>
  <pageMargins left="1" right="0.7" top="0.75" bottom="0.75" header="0.3" footer="0.3"/>
  <pageSetup orientation="portrait" horizontalDpi="4294967295" verticalDpi="4294967295" scale="88"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Bảng 1 (tính điểm CC)</vt:lpstr>
      <vt:lpstr>Biểu 01A (CC)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cp:lastPrinted>2026-09-28T01:39:33Z</cp:lastPrinted>
  <dcterms:created xsi:type="dcterms:W3CDTF">2026-04-17T01:16:00Z</dcterms:created>
  <dcterms:modified xsi:type="dcterms:W3CDTF">2026-09-28T01:40:07Z</dcterms:modified>
</cp:coreProperties>
</file>