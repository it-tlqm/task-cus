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ảng tổng hợp kết quả đánh giá 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8">
    <font>
      <name val="Arial"/>
      <family val="2"/>
      <color theme="1"/>
      <sz val="11"/>
      <scheme val="minor"/>
    </font>
    <font>
      <name val="Arial"/>
      <family val="2"/>
      <color rgb="FF000000"/>
      <sz val="10"/>
    </font>
    <font>
      <name val="Times New Roman"/>
      <family val="1"/>
      <color theme="1"/>
      <sz val="14"/>
    </font>
    <font>
      <name val="Times New Roman"/>
      <family val="1"/>
      <color theme="1"/>
      <sz val="11"/>
    </font>
    <font>
      <name val="Times New Roman"/>
      <family val="1"/>
      <b val="1"/>
      <color theme="1"/>
      <sz val="14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Times New Roman"/>
      <family val="1"/>
      <i val="1"/>
      <color theme="1"/>
      <sz val="14"/>
    </font>
    <font>
      <name val="Times New Roman"/>
      <family val="1"/>
      <color theme="1"/>
      <sz val="12"/>
    </font>
    <font>
      <name val="Times New Roman"/>
      <family val="1"/>
      <sz val="14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i val="1"/>
      <color theme="1"/>
      <sz val="11"/>
    </font>
    <font>
      <name val="Times New Roman"/>
      <family val="1"/>
      <i val="1"/>
      <color theme="1"/>
      <sz val="12"/>
    </font>
    <font>
      <name val="Times New Roman"/>
      <family val="1"/>
      <i val="1"/>
      <color theme="1"/>
      <sz val="11"/>
    </font>
    <font>
      <name val="Arial"/>
      <family val="2"/>
      <i val="1"/>
      <color theme="1"/>
      <sz val="11"/>
      <scheme val="minor"/>
    </font>
    <font>
      <name val="Times New Roman"/>
      <family val="1"/>
      <sz val="12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1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164" fontId="2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wrapText="1"/>
    </xf>
    <xf numFmtId="0" fontId="3" fillId="0" borderId="0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10" fillId="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4" fillId="0" borderId="1" pivotButton="0" quotePrefix="0" xfId="0"/>
    <xf numFmtId="0" fontId="15" fillId="0" borderId="0" pivotButton="0" quotePrefix="0" xfId="0"/>
    <xf numFmtId="0" fontId="12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13" fillId="0" borderId="1" pivotButton="0" quotePrefix="0" xfId="0"/>
    <xf numFmtId="0" fontId="11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left"/>
    </xf>
    <xf numFmtId="0" fontId="13" fillId="0" borderId="1" applyAlignment="1" pivotButton="0" quotePrefix="0" xfId="0">
      <alignment horizontal="center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164" fontId="11" fillId="0" borderId="1" applyAlignment="1" pivotButton="0" quotePrefix="0" xfId="0">
      <alignment horizontal="center" vertical="center"/>
    </xf>
    <xf numFmtId="0" fontId="11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164" fontId="10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 wrapText="1"/>
    </xf>
    <xf numFmtId="0" fontId="13" fillId="0" borderId="1" applyAlignment="1" pivotButton="0" quotePrefix="0" xfId="1">
      <alignment horizontal="center" vertical="center" wrapText="1"/>
    </xf>
    <xf numFmtId="164" fontId="13" fillId="0" borderId="1" applyAlignment="1" pivotButton="0" quotePrefix="0" xfId="0">
      <alignment horizontal="center" vertical="center"/>
    </xf>
    <xf numFmtId="165" fontId="13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1">
      <alignment horizontal="center" vertical="center" wrapText="1"/>
    </xf>
    <xf numFmtId="164" fontId="7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tabSelected="1" topLeftCell="A28" workbookViewId="0">
      <selection activeCell="J47" sqref="J47"/>
    </sheetView>
  </sheetViews>
  <sheetFormatPr baseColWidth="8" defaultColWidth="9" defaultRowHeight="15"/>
  <cols>
    <col width="4.375" customWidth="1" style="24" min="1" max="1"/>
    <col width="40" customWidth="1" style="24" min="2" max="2"/>
    <col width="17.625" customWidth="1" style="24" min="3" max="3"/>
    <col width="12.375" customWidth="1" style="24" min="4" max="4"/>
    <col width="29.875" customWidth="1" style="24" min="5" max="5"/>
    <col width="16.25" customWidth="1" style="18" min="6" max="6"/>
    <col hidden="1" style="24" min="7" max="7"/>
    <col hidden="1" width="13.125" customWidth="1" style="24" min="8" max="8"/>
    <col width="9" customWidth="1" style="24" min="9" max="16384"/>
  </cols>
  <sheetData>
    <row r="1" ht="18.75" customHeight="1">
      <c r="E1" s="63" t="inlineStr">
        <is>
          <t>Mẫu 2D</t>
        </is>
      </c>
    </row>
    <row r="2" ht="16.5" customHeight="1">
      <c r="A2" s="64" t="inlineStr">
        <is>
          <t xml:space="preserve">CHI CỤC HẢI QUAN KHU VỰC XVI  </t>
        </is>
      </c>
      <c r="C2" s="65" t="inlineStr">
        <is>
          <t xml:space="preserve"> CỘNG HÒA XÃ HỘI CHỦ NGHĨA VIỆT NAM</t>
        </is>
      </c>
      <c r="G2" s="3" t="n"/>
      <c r="H2" s="3" t="n"/>
      <c r="I2" s="3" t="n"/>
    </row>
    <row r="3" ht="16.5" customHeight="1">
      <c r="A3" s="65" t="inlineStr">
        <is>
          <t xml:space="preserve">HẢI QUAN CỬA KHẨU QUỐC TẾ TÀ LÙNG  </t>
        </is>
      </c>
      <c r="C3" s="65" t="inlineStr">
        <is>
          <t>Độc lập - Tự do - Hạnh phúc</t>
        </is>
      </c>
      <c r="G3" s="3" t="n"/>
      <c r="H3" s="3" t="n"/>
      <c r="I3" s="3" t="n"/>
    </row>
    <row r="4" ht="6.75" customHeight="1"/>
    <row r="5" ht="24" customHeight="1">
      <c r="A5" s="63" t="inlineStr">
        <is>
          <t>BẢNG TỔNG HỢP KẾT QUẢ ĐÁNH GIÁ, XẾP LOẠI QUÝ III/2026</t>
        </is>
      </c>
    </row>
    <row r="6" ht="18.75" customHeight="1">
      <c r="A6" s="66" t="inlineStr">
        <is>
          <t>(Ban hành kèm theo công văn số: 892 /HQTL ngày 02 tháng 10 năm 2026 của Hải quan CKQT Tà Lùng)</t>
        </is>
      </c>
    </row>
    <row r="8" ht="37.5" customHeight="1">
      <c r="A8" s="4" t="inlineStr">
        <is>
          <t>STT</t>
        </is>
      </c>
      <c r="B8" s="4" t="inlineStr">
        <is>
          <t>Họ và tên</t>
        </is>
      </c>
      <c r="C8" s="4" t="inlineStr">
        <is>
          <t>Chức vụ</t>
        </is>
      </c>
      <c r="D8" s="4" t="inlineStr">
        <is>
          <t>Tổng điểm trung bình</t>
        </is>
      </c>
      <c r="E8" s="4" t="inlineStr">
        <is>
          <t>Đơn vị đánh giá, đề xuất mức xếp loại</t>
        </is>
      </c>
      <c r="F8" s="4" t="inlineStr">
        <is>
          <t>Ghi chú</t>
        </is>
      </c>
      <c r="G8" s="13" t="inlineStr">
        <is>
          <t>T9</t>
        </is>
      </c>
      <c r="H8" s="15" t="inlineStr">
        <is>
          <t>Cá nhân tự nhận</t>
        </is>
      </c>
    </row>
    <row r="9" ht="18.75" customHeight="1">
      <c r="A9" s="5" t="inlineStr">
        <is>
          <t>(1)</t>
        </is>
      </c>
      <c r="B9" s="5" t="inlineStr">
        <is>
          <t>(2)</t>
        </is>
      </c>
      <c r="C9" s="5" t="inlineStr">
        <is>
          <t>(3)</t>
        </is>
      </c>
      <c r="D9" s="5" t="inlineStr">
        <is>
          <t>(4)</t>
        </is>
      </c>
      <c r="E9" s="5" t="inlineStr">
        <is>
          <t>(5)</t>
        </is>
      </c>
      <c r="F9" s="5" t="inlineStr">
        <is>
          <t>(6)</t>
        </is>
      </c>
    </row>
    <row r="10" ht="18" customHeight="1">
      <c r="A10" s="9" t="n">
        <v>1</v>
      </c>
      <c r="B10" s="20" t="inlineStr">
        <is>
          <t>Hoàng Văn Bằng</t>
        </is>
      </c>
      <c r="C10" s="21" t="inlineStr">
        <is>
          <t>Q.Đội trưởng</t>
        </is>
      </c>
      <c r="D10" s="22" t="n">
        <v>89.79000000000001</v>
      </c>
      <c r="E10" s="23" t="inlineStr">
        <is>
          <t>Hoàn thành tốt nhiệm vụ</t>
        </is>
      </c>
      <c r="F10" s="17" t="n"/>
      <c r="G10" s="24" t="n">
        <v>83.13</v>
      </c>
      <c r="H10" s="25" t="inlineStr">
        <is>
          <t>HT</t>
        </is>
      </c>
    </row>
    <row r="11" ht="18" customHeight="1">
      <c r="A11" s="9" t="n">
        <v>2</v>
      </c>
      <c r="B11" s="20" t="inlineStr">
        <is>
          <t>Nông Xuân Ánh</t>
        </is>
      </c>
      <c r="C11" s="21" t="inlineStr">
        <is>
          <t>Phó đội trưởng</t>
        </is>
      </c>
      <c r="D11" s="22" t="n">
        <v>93.62</v>
      </c>
      <c r="E11" s="61" t="inlineStr">
        <is>
          <t>Hoàn thành xuất sắc nhiệm vụ</t>
        </is>
      </c>
      <c r="F11" s="17" t="n"/>
      <c r="G11" s="24" t="n">
        <v>91.62</v>
      </c>
      <c r="H11" s="18" t="inlineStr">
        <is>
          <t>HTXS</t>
        </is>
      </c>
    </row>
    <row r="12" ht="18" customHeight="1">
      <c r="A12" s="9" t="n">
        <v>3</v>
      </c>
      <c r="B12" s="20" t="inlineStr">
        <is>
          <t>Trần Nguyên Đán</t>
        </is>
      </c>
      <c r="C12" s="21" t="inlineStr">
        <is>
          <t>Công chức</t>
        </is>
      </c>
      <c r="D12" s="22" t="n">
        <v>96.63</v>
      </c>
      <c r="E12" s="61" t="inlineStr">
        <is>
          <t>Hoàn thành xuất sắc nhiệm vụ</t>
        </is>
      </c>
      <c r="F12" s="17" t="n"/>
      <c r="G12" s="24" t="n">
        <v>93.88</v>
      </c>
      <c r="H12" s="18" t="inlineStr">
        <is>
          <t>HTXS</t>
        </is>
      </c>
    </row>
    <row r="13" ht="18" customHeight="1">
      <c r="A13" s="9" t="n">
        <v>4</v>
      </c>
      <c r="B13" s="20" t="inlineStr">
        <is>
          <t>Nguyễn Hải Yên</t>
        </is>
      </c>
      <c r="C13" s="21" t="inlineStr">
        <is>
          <t>Công chức</t>
        </is>
      </c>
      <c r="D13" s="22" t="n">
        <v>91.66</v>
      </c>
      <c r="E13" s="61" t="inlineStr">
        <is>
          <t>Hoàn thành xuất sắc nhiệm vụ</t>
        </is>
      </c>
      <c r="F13" s="17" t="n"/>
      <c r="G13" s="24" t="n">
        <v>94.11</v>
      </c>
      <c r="H13" s="18" t="inlineStr">
        <is>
          <t>HTXS</t>
        </is>
      </c>
    </row>
    <row r="14" ht="18" customHeight="1">
      <c r="A14" s="9" t="n">
        <v>5</v>
      </c>
      <c r="B14" s="20" t="inlineStr">
        <is>
          <t>Nguyễn Đình Giang</t>
        </is>
      </c>
      <c r="C14" s="21" t="inlineStr">
        <is>
          <t>Công chức</t>
        </is>
      </c>
      <c r="D14" s="22" t="n">
        <v>95.61</v>
      </c>
      <c r="E14" s="61" t="inlineStr">
        <is>
          <t>Hoàn thành xuất sắc nhiệm vụ</t>
        </is>
      </c>
      <c r="F14" s="17" t="n"/>
      <c r="G14" s="24" t="n">
        <v>94.43000000000001</v>
      </c>
      <c r="H14" s="18" t="inlineStr">
        <is>
          <t>HTXS</t>
        </is>
      </c>
    </row>
    <row r="15" ht="18" customHeight="1">
      <c r="A15" s="9" t="n">
        <v>6</v>
      </c>
      <c r="B15" s="20" t="inlineStr">
        <is>
          <t>Trần Minh Hoàng</t>
        </is>
      </c>
      <c r="C15" s="21" t="inlineStr">
        <is>
          <t>Công chức</t>
        </is>
      </c>
      <c r="D15" s="22" t="n">
        <v>97.8</v>
      </c>
      <c r="E15" s="23" t="inlineStr">
        <is>
          <t>Hoàn thành xuất sắc nhiệm vụ</t>
        </is>
      </c>
      <c r="F15" s="17" t="n"/>
      <c r="H15" s="18" t="n"/>
    </row>
    <row r="16" ht="18" customHeight="1">
      <c r="A16" s="9" t="n">
        <v>7</v>
      </c>
      <c r="B16" s="20" t="inlineStr">
        <is>
          <t>Lô Thùy Ly</t>
        </is>
      </c>
      <c r="C16" s="21" t="inlineStr">
        <is>
          <t>Công chức</t>
        </is>
      </c>
      <c r="D16" s="22" t="n">
        <v>86.48</v>
      </c>
      <c r="E16" s="23" t="inlineStr">
        <is>
          <t>Hoàn thành tốt nhiệm vụ</t>
        </is>
      </c>
      <c r="F16" s="17" t="n"/>
      <c r="G16" s="24" t="n">
        <v>73.44</v>
      </c>
      <c r="H16" s="24" t="inlineStr">
        <is>
          <t>HTT</t>
        </is>
      </c>
    </row>
    <row r="17" ht="18" customHeight="1">
      <c r="A17" s="9" t="n">
        <v>8</v>
      </c>
      <c r="B17" s="20" t="inlineStr">
        <is>
          <t>Lê Quốc Hưng</t>
        </is>
      </c>
      <c r="C17" s="21" t="inlineStr">
        <is>
          <t>Công chức</t>
        </is>
      </c>
      <c r="D17" s="22" t="n">
        <v>87.43000000000001</v>
      </c>
      <c r="E17" s="23" t="inlineStr">
        <is>
          <t>Hoàn thành tốt nhiệm vụ</t>
        </is>
      </c>
      <c r="F17" s="17" t="n"/>
      <c r="G17" s="24" t="n">
        <v>89.66</v>
      </c>
      <c r="H17" s="24" t="inlineStr">
        <is>
          <t>HTT</t>
        </is>
      </c>
    </row>
    <row r="18" ht="18" customHeight="1">
      <c r="A18" s="9" t="n">
        <v>9</v>
      </c>
      <c r="B18" s="20" t="inlineStr">
        <is>
          <t>Nguyễn Xuân Dũng</t>
        </is>
      </c>
      <c r="C18" s="21" t="inlineStr">
        <is>
          <t>Công chức</t>
        </is>
      </c>
      <c r="D18" s="22" t="n">
        <v>87.56999999999999</v>
      </c>
      <c r="E18" s="23" t="inlineStr">
        <is>
          <t>Hoàn thành tốt nhiệm vụ</t>
        </is>
      </c>
      <c r="F18" s="17" t="n"/>
      <c r="G18" s="24" t="n">
        <v>87.02</v>
      </c>
      <c r="H18" s="24" t="inlineStr">
        <is>
          <t>HTT</t>
        </is>
      </c>
    </row>
    <row r="19" ht="18" customFormat="1" customHeight="1" s="24">
      <c r="A19" s="9" t="n">
        <v>10</v>
      </c>
      <c r="B19" s="20" t="inlineStr">
        <is>
          <t>Bế Hoài Châu</t>
        </is>
      </c>
      <c r="C19" s="21" t="inlineStr">
        <is>
          <t>Công chức</t>
        </is>
      </c>
      <c r="D19" s="22" t="n">
        <v>94.81</v>
      </c>
      <c r="E19" s="23" t="inlineStr">
        <is>
          <t>Hoàn thành tốt nhiệm vụ</t>
        </is>
      </c>
      <c r="F19" s="23" t="n"/>
      <c r="G19" s="24" t="n">
        <v>97.5</v>
      </c>
      <c r="H19" s="24" t="inlineStr">
        <is>
          <t>HTT</t>
        </is>
      </c>
    </row>
    <row r="20" ht="18" customHeight="1">
      <c r="A20" s="9" t="n">
        <v>11</v>
      </c>
      <c r="B20" s="20" t="inlineStr">
        <is>
          <t>Hà Thị Dung</t>
        </is>
      </c>
      <c r="C20" s="21" t="inlineStr">
        <is>
          <t>Công chức</t>
        </is>
      </c>
      <c r="D20" s="22" t="n">
        <v>92.58</v>
      </c>
      <c r="E20" s="23" t="inlineStr">
        <is>
          <t>Hoàn thành tốt nhiệm vụ</t>
        </is>
      </c>
      <c r="F20" s="23" t="n"/>
      <c r="G20" s="24" t="n">
        <v>92.31</v>
      </c>
      <c r="H20" s="24" t="inlineStr">
        <is>
          <t>HTT</t>
        </is>
      </c>
    </row>
    <row r="21" ht="18" customHeight="1">
      <c r="A21" s="9" t="n">
        <v>12</v>
      </c>
      <c r="B21" s="20" t="inlineStr">
        <is>
          <t>Nguyễn Mạnh Toàn</t>
        </is>
      </c>
      <c r="C21" s="21" t="inlineStr">
        <is>
          <t>Công chức</t>
        </is>
      </c>
      <c r="D21" s="22" t="n">
        <v>89.09999999999999</v>
      </c>
      <c r="E21" s="23" t="inlineStr">
        <is>
          <t>Hoàn thành tốt nhiệm vụ</t>
        </is>
      </c>
      <c r="F21" s="17" t="n"/>
      <c r="G21" s="24" t="n">
        <v>79.89</v>
      </c>
      <c r="H21" s="24" t="inlineStr">
        <is>
          <t>HTT</t>
        </is>
      </c>
    </row>
    <row r="22" ht="18" customHeight="1">
      <c r="A22" s="9" t="n">
        <v>13</v>
      </c>
      <c r="B22" s="20" t="inlineStr">
        <is>
          <t>Trương Hồng Thắng</t>
        </is>
      </c>
      <c r="C22" s="21" t="inlineStr">
        <is>
          <t>Công chức</t>
        </is>
      </c>
      <c r="D22" s="22" t="n">
        <v>89.70999999999999</v>
      </c>
      <c r="E22" s="23" t="inlineStr">
        <is>
          <t>Hoàn thành tốt nhiệm vụ</t>
        </is>
      </c>
      <c r="F22" s="17" t="n"/>
      <c r="G22" s="24" t="n">
        <v>88.97</v>
      </c>
      <c r="H22" s="24" t="inlineStr">
        <is>
          <t>HTT</t>
        </is>
      </c>
    </row>
    <row r="23" ht="18" customHeight="1">
      <c r="A23" s="9" t="n">
        <v>14</v>
      </c>
      <c r="B23" s="20" t="inlineStr">
        <is>
          <t>Phương Khánh Hạ</t>
        </is>
      </c>
      <c r="C23" s="21" t="inlineStr">
        <is>
          <t>Công chức</t>
        </is>
      </c>
      <c r="D23" s="22" t="n">
        <v>90.97</v>
      </c>
      <c r="E23" s="23" t="inlineStr">
        <is>
          <t>Hoàn thành tốt nhiệm vụ</t>
        </is>
      </c>
      <c r="F23" s="17" t="n"/>
      <c r="G23" s="24" t="n">
        <v>88.52</v>
      </c>
      <c r="H23" s="24" t="inlineStr">
        <is>
          <t>HTT</t>
        </is>
      </c>
    </row>
    <row r="24" ht="18" customHeight="1">
      <c r="A24" s="9" t="n">
        <v>15</v>
      </c>
      <c r="B24" s="20" t="inlineStr">
        <is>
          <t>Đinh Đức Hoàng</t>
        </is>
      </c>
      <c r="C24" s="21" t="inlineStr">
        <is>
          <t>Công chức</t>
        </is>
      </c>
      <c r="D24" s="22" t="n">
        <v>88.5</v>
      </c>
      <c r="E24" s="23" t="inlineStr">
        <is>
          <t>Hoàn thành tốt nhiệm vụ</t>
        </is>
      </c>
      <c r="F24" s="17" t="n"/>
      <c r="G24" s="24" t="n">
        <v>88.5</v>
      </c>
      <c r="H24" s="24" t="inlineStr">
        <is>
          <t>HTT</t>
        </is>
      </c>
    </row>
    <row r="25" ht="18" customHeight="1">
      <c r="A25" s="9" t="n">
        <v>16</v>
      </c>
      <c r="B25" s="20" t="inlineStr">
        <is>
          <t>Triệu Văn Hòa</t>
        </is>
      </c>
      <c r="C25" s="21" t="inlineStr">
        <is>
          <t>Công chức</t>
        </is>
      </c>
      <c r="D25" s="22" t="n">
        <v>91.69</v>
      </c>
      <c r="E25" s="23" t="inlineStr">
        <is>
          <t>Hoàn thành tốt nhiệm vụ</t>
        </is>
      </c>
      <c r="F25" s="17" t="n"/>
      <c r="G25" s="24" t="n">
        <v>92.93000000000001</v>
      </c>
      <c r="H25" s="24" t="inlineStr">
        <is>
          <t>HTT</t>
        </is>
      </c>
    </row>
    <row r="26" ht="18" customHeight="1">
      <c r="A26" s="9" t="n">
        <v>17</v>
      </c>
      <c r="B26" s="20" t="inlineStr">
        <is>
          <t>Hoàng Văn Huynh</t>
        </is>
      </c>
      <c r="C26" s="21" t="inlineStr">
        <is>
          <t>Công chức</t>
        </is>
      </c>
      <c r="D26" s="22" t="n">
        <v>88.78</v>
      </c>
      <c r="E26" s="23" t="inlineStr">
        <is>
          <t>Hoàn thành tốt nhiệm vụ</t>
        </is>
      </c>
      <c r="F26" s="17" t="n"/>
      <c r="G26" s="24" t="n">
        <v>73.34999999999999</v>
      </c>
      <c r="H26" s="24" t="inlineStr">
        <is>
          <t>HTT</t>
        </is>
      </c>
    </row>
    <row r="27" ht="18" customHeight="1">
      <c r="A27" s="9" t="n">
        <v>18</v>
      </c>
      <c r="B27" s="20" t="inlineStr">
        <is>
          <t>Lã Trần Minh</t>
        </is>
      </c>
      <c r="C27" s="21" t="inlineStr">
        <is>
          <t>Công chức</t>
        </is>
      </c>
      <c r="D27" s="22" t="n">
        <v>88.98999999999999</v>
      </c>
      <c r="E27" s="23" t="inlineStr">
        <is>
          <t>Hoàn thành tốt nhiệm vụ</t>
        </is>
      </c>
      <c r="F27" s="17" t="n"/>
      <c r="G27" s="24" t="n">
        <v>71.98</v>
      </c>
      <c r="H27" s="24" t="inlineStr">
        <is>
          <t>HTT</t>
        </is>
      </c>
    </row>
    <row r="28" ht="18" customHeight="1">
      <c r="A28" s="9" t="n">
        <v>19</v>
      </c>
      <c r="B28" s="20" t="inlineStr">
        <is>
          <t>Nông Đức Thiện</t>
        </is>
      </c>
      <c r="C28" s="21" t="inlineStr">
        <is>
          <t>Công chức</t>
        </is>
      </c>
      <c r="D28" s="22" t="n">
        <v>88.94</v>
      </c>
      <c r="E28" s="23" t="inlineStr">
        <is>
          <t>Hoàn thành tốt nhiệm vụ</t>
        </is>
      </c>
      <c r="F28" s="17" t="n"/>
      <c r="G28" s="24" t="n">
        <v>71.83</v>
      </c>
      <c r="H28" s="24" t="inlineStr">
        <is>
          <t>HTT</t>
        </is>
      </c>
    </row>
    <row r="29" ht="18" customHeight="1">
      <c r="A29" s="9" t="n">
        <v>20</v>
      </c>
      <c r="B29" s="20" t="inlineStr">
        <is>
          <t>Bế Văn Hiếu</t>
        </is>
      </c>
      <c r="C29" s="21" t="inlineStr">
        <is>
          <t>Công chức</t>
        </is>
      </c>
      <c r="D29" s="22" t="n">
        <v>89.48999999999999</v>
      </c>
      <c r="E29" s="23" t="inlineStr">
        <is>
          <t>Hoàn thành tốt nhiệm vụ</t>
        </is>
      </c>
      <c r="F29" s="23" t="n"/>
      <c r="G29" s="24" t="n">
        <v>74.42</v>
      </c>
      <c r="H29" s="24" t="inlineStr">
        <is>
          <t>HTT</t>
        </is>
      </c>
    </row>
    <row r="30" ht="18" customHeight="1">
      <c r="A30" s="9" t="n">
        <v>21</v>
      </c>
      <c r="B30" s="20" t="inlineStr">
        <is>
          <t>Lâm Nhật Anh</t>
        </is>
      </c>
      <c r="C30" s="21" t="inlineStr">
        <is>
          <t>Công chức</t>
        </is>
      </c>
      <c r="D30" s="22" t="n">
        <v>97.5</v>
      </c>
      <c r="E30" s="23" t="inlineStr">
        <is>
          <t>Hoàn thành tốt nhiệm vụ</t>
        </is>
      </c>
      <c r="F30" s="17" t="n"/>
      <c r="G30" s="24" t="n">
        <v>97.5</v>
      </c>
      <c r="H30" s="24" t="inlineStr">
        <is>
          <t>HTT</t>
        </is>
      </c>
    </row>
    <row r="31" ht="18" customHeight="1">
      <c r="A31" s="9" t="n">
        <v>22</v>
      </c>
      <c r="B31" s="20" t="inlineStr">
        <is>
          <t>Nguyễn Mạnh Hiên</t>
        </is>
      </c>
      <c r="C31" s="21" t="inlineStr">
        <is>
          <t>Công chức</t>
        </is>
      </c>
      <c r="D31" s="12" t="n">
        <v>87.54000000000001</v>
      </c>
      <c r="E31" s="23" t="inlineStr">
        <is>
          <t>Hoàn thành tốt nhiệm vụ</t>
        </is>
      </c>
      <c r="F31" s="17" t="n"/>
      <c r="G31" s="24" t="n">
        <v>83.2</v>
      </c>
      <c r="H31" s="24" t="inlineStr">
        <is>
          <t>HTT</t>
        </is>
      </c>
    </row>
    <row r="32" ht="18" customHeight="1">
      <c r="A32" s="9" t="n">
        <v>23</v>
      </c>
      <c r="B32" s="20" t="inlineStr">
        <is>
          <t>Nguyễn Tuấn Anh</t>
        </is>
      </c>
      <c r="C32" s="21" t="inlineStr">
        <is>
          <t>Công chức</t>
        </is>
      </c>
      <c r="D32" s="22" t="n">
        <v>89.47</v>
      </c>
      <c r="E32" s="23" t="inlineStr">
        <is>
          <t>Hoàn thành tốt nhiệm vụ</t>
        </is>
      </c>
      <c r="F32" s="17" t="n"/>
      <c r="G32" s="24" t="n">
        <v>86.22</v>
      </c>
      <c r="H32" s="24" t="inlineStr">
        <is>
          <t>HTT</t>
        </is>
      </c>
    </row>
    <row r="33" ht="18" customHeight="1">
      <c r="A33" s="9" t="n">
        <v>24</v>
      </c>
      <c r="B33" s="20" t="inlineStr">
        <is>
          <t>Đặng Minh Tuấn</t>
        </is>
      </c>
      <c r="C33" s="21" t="inlineStr">
        <is>
          <t>Công chức</t>
        </is>
      </c>
      <c r="D33" s="22" t="n">
        <v>89.18000000000001</v>
      </c>
      <c r="E33" s="23" t="inlineStr">
        <is>
          <t>Hoàn thành tốt nhiệm vụ</t>
        </is>
      </c>
      <c r="F33" s="17" t="n"/>
      <c r="G33" s="24" t="n">
        <v>83.09</v>
      </c>
      <c r="H33" s="24" t="inlineStr">
        <is>
          <t>HTT</t>
        </is>
      </c>
    </row>
    <row r="34" ht="18" customHeight="1">
      <c r="A34" s="9" t="n">
        <v>25</v>
      </c>
      <c r="B34" s="20" t="inlineStr">
        <is>
          <t>Hoàng Đức Hạnh</t>
        </is>
      </c>
      <c r="C34" s="21" t="inlineStr">
        <is>
          <t>Công chức</t>
        </is>
      </c>
      <c r="D34" s="22" t="n">
        <v>83.70999999999999</v>
      </c>
      <c r="E34" s="23" t="inlineStr">
        <is>
          <t>Hoàn thành tốt nhiệm vụ</t>
        </is>
      </c>
      <c r="F34" s="23" t="n"/>
      <c r="G34" s="24" t="n">
        <v>84.47</v>
      </c>
      <c r="H34" s="24" t="inlineStr">
        <is>
          <t>HTT</t>
        </is>
      </c>
    </row>
    <row r="35" ht="18" customHeight="1">
      <c r="A35" s="9" t="n">
        <v>26</v>
      </c>
      <c r="B35" s="20" t="inlineStr">
        <is>
          <t>Tô Văn Thụ</t>
        </is>
      </c>
      <c r="C35" s="21" t="inlineStr">
        <is>
          <t>Công chức</t>
        </is>
      </c>
      <c r="D35" s="22" t="n">
        <v>86.42</v>
      </c>
      <c r="E35" s="23" t="inlineStr">
        <is>
          <t>Hoàn thành tốt nhiệm vụ</t>
        </is>
      </c>
      <c r="F35" s="17" t="n"/>
      <c r="G35" s="24" t="n">
        <v>86.15000000000001</v>
      </c>
      <c r="H35" s="24" t="inlineStr">
        <is>
          <t>HTT</t>
        </is>
      </c>
    </row>
    <row r="36" ht="18" customHeight="1">
      <c r="A36" s="9" t="n">
        <v>27</v>
      </c>
      <c r="B36" s="20" t="inlineStr">
        <is>
          <t>Phạm Linh Thuận</t>
        </is>
      </c>
      <c r="C36" s="21" t="inlineStr">
        <is>
          <t>Công chức</t>
        </is>
      </c>
      <c r="D36" s="22" t="n">
        <v>84.51000000000001</v>
      </c>
      <c r="E36" s="23" t="inlineStr">
        <is>
          <t>Hoàn thành tốt nhiệm vụ</t>
        </is>
      </c>
      <c r="F36" s="17" t="n"/>
      <c r="G36" s="24" t="n">
        <v>80.65000000000001</v>
      </c>
      <c r="H36" s="24" t="inlineStr">
        <is>
          <t>HTT</t>
        </is>
      </c>
    </row>
    <row r="37" ht="18" customHeight="1">
      <c r="A37" s="9" t="n">
        <v>28</v>
      </c>
      <c r="B37" s="20" t="inlineStr">
        <is>
          <t>Tống Thái Nam</t>
        </is>
      </c>
      <c r="C37" s="21" t="inlineStr">
        <is>
          <t>Công chức</t>
        </is>
      </c>
      <c r="D37" s="22" t="n">
        <v>85.03</v>
      </c>
      <c r="E37" s="61" t="inlineStr">
        <is>
          <t>Hoàn thành nhiệm vụ</t>
        </is>
      </c>
      <c r="F37" s="17" t="n"/>
    </row>
    <row r="38" ht="18" customHeight="1">
      <c r="A38" s="9" t="n">
        <v>29</v>
      </c>
      <c r="B38" s="20" t="inlineStr">
        <is>
          <t>Lý Thị Hương</t>
        </is>
      </c>
      <c r="C38" s="21" t="inlineStr">
        <is>
          <t>Công chức</t>
        </is>
      </c>
      <c r="D38" s="22" t="n">
        <v>89.92</v>
      </c>
      <c r="E38" s="23" t="inlineStr">
        <is>
          <t>Hoàn thành nhiệm vụ</t>
        </is>
      </c>
      <c r="F38" s="17" t="n"/>
    </row>
    <row r="39" ht="76.5" customHeight="1">
      <c r="A39" s="21" t="n">
        <v>30</v>
      </c>
      <c r="B39" s="20" t="inlineStr">
        <is>
          <t>Đặng Minh Được</t>
        </is>
      </c>
      <c r="C39" s="21" t="inlineStr">
        <is>
          <t>Công chức</t>
        </is>
      </c>
      <c r="D39" s="22" t="n">
        <v>89.34999999999999</v>
      </c>
      <c r="E39" s="61" t="inlineStr">
        <is>
          <t>Chưa thực hiện đánh giá xếp loại QIII/2026. Chuyển sang đánh giá xếp loại vào QIV/2026</t>
        </is>
      </c>
      <c r="F39" s="62" t="inlineStr">
        <is>
          <t>Theo hướng dẫn tại khoản 6 của Hướng dẫn số 02-HD/BTCTW ngày 22/5/2026 của Ban chấp hành trung ương</t>
        </is>
      </c>
    </row>
    <row r="40" ht="18" customHeight="1">
      <c r="A40" s="9" t="n">
        <v>31</v>
      </c>
      <c r="B40" s="57" t="inlineStr">
        <is>
          <t xml:space="preserve">Long Trọng Giáp </t>
        </is>
      </c>
      <c r="C40" s="58" t="inlineStr">
        <is>
          <t>Bảo vệ</t>
        </is>
      </c>
      <c r="D40" s="59" t="n">
        <v>88.34444444444433</v>
      </c>
      <c r="E40" s="60" t="inlineStr">
        <is>
          <t>Hoàn thành tốt nhiệm vụ</t>
        </is>
      </c>
      <c r="F40" s="17" t="n"/>
    </row>
    <row r="41" ht="18" customHeight="1">
      <c r="A41" s="9" t="n">
        <v>32</v>
      </c>
      <c r="B41" s="57" t="inlineStr">
        <is>
          <t xml:space="preserve">Hoàng Đức Trung </t>
        </is>
      </c>
      <c r="C41" s="58" t="inlineStr">
        <is>
          <t>Bảo vệ</t>
        </is>
      </c>
      <c r="D41" s="59" t="n">
        <v>84.02222222222234</v>
      </c>
      <c r="E41" s="60" t="inlineStr">
        <is>
          <t>Hoàn thành tốt nhiệm vụ</t>
        </is>
      </c>
      <c r="F41" s="17" t="n"/>
    </row>
    <row r="42" ht="18" customHeight="1">
      <c r="A42" s="9" t="n">
        <v>33</v>
      </c>
      <c r="B42" s="57" t="inlineStr">
        <is>
          <t xml:space="preserve">Triệu Văn Giáp </t>
        </is>
      </c>
      <c r="C42" s="58" t="inlineStr">
        <is>
          <t>Tạp vụ</t>
        </is>
      </c>
      <c r="D42" s="59" t="n">
        <v>86.53333333333335</v>
      </c>
      <c r="E42" s="60" t="inlineStr">
        <is>
          <t>Hoàn thành tốt nhiệm vụ</t>
        </is>
      </c>
      <c r="F42" s="17" t="n"/>
    </row>
    <row r="43" ht="18" customHeight="1">
      <c r="A43" s="9" t="n">
        <v>34</v>
      </c>
      <c r="B43" s="57" t="inlineStr">
        <is>
          <t xml:space="preserve">Bế Thị Hồng </t>
        </is>
      </c>
      <c r="C43" s="58" t="inlineStr">
        <is>
          <t>Tạp vụ</t>
        </is>
      </c>
      <c r="D43" s="59" t="n">
        <v>85.57777777777767</v>
      </c>
      <c r="E43" s="60" t="inlineStr">
        <is>
          <t>Hoàn thành tốt nhiệm vụ</t>
        </is>
      </c>
      <c r="F43" s="17" t="n"/>
    </row>
    <row r="44" ht="18" customHeight="1">
      <c r="A44" s="9" t="n">
        <v>35</v>
      </c>
      <c r="B44" s="57" t="inlineStr">
        <is>
          <t>Nông Thế Đạt</t>
        </is>
      </c>
      <c r="C44" s="58" t="inlineStr">
        <is>
          <t>Lái xe</t>
        </is>
      </c>
      <c r="D44" s="59" t="n">
        <v>87.88888888888901</v>
      </c>
      <c r="E44" s="60" t="inlineStr">
        <is>
          <t>Hoàn thành tốt nhiệm vụ</t>
        </is>
      </c>
      <c r="F44" s="17" t="n"/>
    </row>
    <row r="45" ht="18" customHeight="1">
      <c r="A45" s="9" t="n">
        <v>36</v>
      </c>
      <c r="B45" s="57" t="inlineStr">
        <is>
          <t xml:space="preserve">Hoàng Văn Bách </t>
        </is>
      </c>
      <c r="C45" s="58" t="inlineStr">
        <is>
          <t>Bảo vệ</t>
        </is>
      </c>
      <c r="D45" s="59" t="n">
        <v>87.188888888889</v>
      </c>
      <c r="E45" s="60" t="inlineStr">
        <is>
          <t>Hoàn thành tốt nhiệm vụ</t>
        </is>
      </c>
      <c r="F45" s="17" t="n"/>
    </row>
    <row r="46" ht="18" customHeight="1">
      <c r="A46" s="9" t="n"/>
      <c r="B46" s="57" t="n"/>
      <c r="C46" s="58" t="n"/>
      <c r="D46" s="59" t="n"/>
      <c r="E46" s="60" t="n"/>
      <c r="F46" s="17" t="n"/>
    </row>
    <row r="47" ht="18" customHeight="1">
      <c r="A47" s="9" t="n"/>
      <c r="B47" s="57" t="n"/>
      <c r="C47" s="58" t="n"/>
      <c r="D47" s="59" t="n"/>
      <c r="E47" s="60" t="n"/>
      <c r="F47" s="17" t="n"/>
    </row>
    <row r="48" ht="18" customHeight="1">
      <c r="A48" s="9" t="n"/>
      <c r="B48" s="57" t="n"/>
      <c r="C48" s="58" t="n"/>
      <c r="D48" s="59" t="n"/>
      <c r="E48" s="60" t="n"/>
      <c r="F48" s="17" t="n"/>
    </row>
    <row r="49" ht="18" customHeight="1">
      <c r="A49" s="9" t="n"/>
      <c r="B49" s="57" t="n"/>
      <c r="C49" s="58" t="n"/>
      <c r="D49" s="59" t="n"/>
      <c r="E49" s="60" t="n"/>
      <c r="F49" s="17" t="n"/>
    </row>
    <row r="50" ht="18" customHeight="1">
      <c r="A50" s="9" t="n"/>
      <c r="B50" s="57" t="n"/>
      <c r="C50" s="58" t="n"/>
      <c r="D50" s="59" t="n"/>
      <c r="E50" s="60" t="n"/>
      <c r="F50" s="17" t="n"/>
    </row>
    <row r="51" ht="18" customHeight="1">
      <c r="A51" s="9" t="n"/>
      <c r="B51" s="57" t="n"/>
      <c r="C51" s="58" t="n"/>
      <c r="D51" s="59" t="n"/>
      <c r="E51" s="60" t="n"/>
      <c r="F51" s="17" t="n"/>
    </row>
    <row r="52" ht="18" customHeight="1">
      <c r="A52" s="9" t="n"/>
      <c r="B52" s="57" t="n"/>
      <c r="C52" s="58" t="n"/>
      <c r="D52" s="59" t="n"/>
      <c r="E52" s="60" t="n"/>
      <c r="F52" s="17" t="n"/>
    </row>
    <row r="53" ht="18" customHeight="1">
      <c r="A53" s="9" t="n"/>
      <c r="B53" s="57" t="n"/>
      <c r="C53" s="58" t="n"/>
      <c r="D53" s="59" t="n"/>
      <c r="E53" s="60" t="n"/>
      <c r="F53" s="17" t="n"/>
    </row>
    <row r="54" ht="18" customHeight="1">
      <c r="A54" s="9" t="n"/>
      <c r="B54" s="57" t="n"/>
      <c r="C54" s="58" t="n"/>
      <c r="D54" s="59" t="n"/>
      <c r="E54" s="60" t="n"/>
      <c r="F54" s="17" t="n"/>
    </row>
    <row r="55" ht="18" customHeight="1">
      <c r="A55" s="9" t="n"/>
      <c r="B55" s="57" t="n"/>
      <c r="C55" s="58" t="n"/>
      <c r="D55" s="59" t="n"/>
      <c r="E55" s="60" t="n"/>
      <c r="F55" s="17" t="n"/>
    </row>
    <row r="56" ht="18" customHeight="1">
      <c r="A56" s="9" t="n"/>
      <c r="B56" s="57" t="n"/>
      <c r="C56" s="58" t="n"/>
      <c r="D56" s="59" t="n"/>
      <c r="E56" s="60" t="n"/>
      <c r="F56" s="17" t="n"/>
    </row>
    <row r="57" ht="18" customHeight="1">
      <c r="A57" s="9" t="n"/>
      <c r="B57" s="57" t="n"/>
      <c r="C57" s="58" t="n"/>
      <c r="D57" s="59" t="n"/>
      <c r="E57" s="60" t="n"/>
      <c r="F57" s="17" t="n"/>
    </row>
    <row r="58" ht="18" customHeight="1">
      <c r="A58" s="9" t="n"/>
      <c r="B58" s="57" t="n"/>
      <c r="C58" s="58" t="n"/>
      <c r="D58" s="59" t="n"/>
      <c r="E58" s="60" t="n"/>
      <c r="F58" s="17" t="n"/>
    </row>
    <row r="59" ht="18" customHeight="1">
      <c r="A59" s="9" t="n"/>
      <c r="B59" s="57" t="n"/>
      <c r="C59" s="58" t="n"/>
      <c r="D59" s="59" t="n"/>
      <c r="E59" s="60" t="n"/>
      <c r="F59" s="17" t="n"/>
    </row>
    <row r="60" ht="18" customHeight="1">
      <c r="A60" s="9" t="n"/>
      <c r="B60" s="57" t="n"/>
      <c r="C60" s="58" t="n"/>
      <c r="D60" s="59" t="n"/>
      <c r="E60" s="60" t="n"/>
      <c r="F60" s="17" t="n"/>
    </row>
    <row r="61" ht="18" customHeight="1">
      <c r="A61" s="9" t="n"/>
      <c r="B61" s="57" t="n"/>
      <c r="C61" s="58" t="n"/>
      <c r="D61" s="59" t="n"/>
      <c r="E61" s="60" t="n"/>
      <c r="F61" s="17" t="n"/>
    </row>
    <row r="62" ht="18" customHeight="1">
      <c r="A62" s="9" t="n"/>
      <c r="B62" s="57" t="n"/>
      <c r="C62" s="58" t="n"/>
      <c r="D62" s="59" t="n"/>
      <c r="E62" s="60" t="n"/>
      <c r="F62" s="17" t="n"/>
    </row>
    <row r="63" ht="18" customHeight="1">
      <c r="A63" s="9" t="n"/>
      <c r="B63" s="57" t="n"/>
      <c r="C63" s="58" t="n"/>
      <c r="D63" s="59" t="n"/>
      <c r="E63" s="60" t="n"/>
      <c r="F63" s="17" t="n"/>
    </row>
    <row r="64" ht="18" customHeight="1">
      <c r="A64" s="9" t="n"/>
      <c r="B64" s="57" t="n"/>
      <c r="C64" s="58" t="n"/>
      <c r="D64" s="59" t="n"/>
      <c r="E64" s="60" t="n"/>
      <c r="F64" s="17" t="n"/>
    </row>
    <row r="65" ht="18" customHeight="1">
      <c r="A65" s="9" t="n"/>
      <c r="B65" s="57" t="n"/>
      <c r="C65" s="58" t="n"/>
      <c r="D65" s="59" t="n"/>
      <c r="E65" s="60" t="n"/>
      <c r="F65" s="17" t="n"/>
    </row>
    <row r="66" ht="18" customHeight="1">
      <c r="A66" s="9" t="n"/>
      <c r="B66" s="57" t="n"/>
      <c r="C66" s="58" t="n"/>
      <c r="D66" s="59" t="n"/>
      <c r="E66" s="60" t="n"/>
      <c r="F66" s="17" t="n"/>
    </row>
    <row r="67" ht="18" customHeight="1">
      <c r="A67" s="9" t="n"/>
      <c r="B67" s="57" t="n"/>
      <c r="C67" s="58" t="n"/>
      <c r="D67" s="59" t="n"/>
      <c r="E67" s="60" t="n"/>
      <c r="F67" s="17" t="n"/>
    </row>
    <row r="68" ht="18" customHeight="1">
      <c r="A68" s="9" t="n"/>
      <c r="B68" s="57" t="n"/>
      <c r="C68" s="58" t="n"/>
      <c r="D68" s="59" t="n"/>
      <c r="E68" s="60" t="n"/>
      <c r="F68" s="17" t="n"/>
    </row>
    <row r="69" ht="18" customHeight="1">
      <c r="A69" s="9" t="n"/>
      <c r="B69" s="57" t="n"/>
      <c r="C69" s="58" t="n"/>
      <c r="D69" s="59" t="n"/>
      <c r="E69" s="60" t="n"/>
      <c r="F69" s="17" t="n"/>
    </row>
    <row r="70"/>
    <row r="71">
      <c r="A71" s="63" t="inlineStr">
        <is>
          <t>NGƯỜI TỔNG HỢP</t>
        </is>
      </c>
      <c r="C71" s="10" t="n"/>
      <c r="D71" s="63" t="inlineStr">
        <is>
          <t>THỦ TRƯỞNG ĐƠN VỊ</t>
        </is>
      </c>
    </row>
    <row r="72"/>
    <row r="73"/>
    <row r="74"/>
    <row r="75"/>
    <row r="76"/>
    <row r="77">
      <c r="A77" s="63" t="inlineStr">
        <is>
          <t>Nguyễn Tuấn Anh</t>
        </is>
      </c>
      <c r="D77" s="63" t="inlineStr">
        <is>
          <t>Hoàng Văn Bằng</t>
        </is>
      </c>
    </row>
  </sheetData>
  <mergeCells count="10">
    <mergeCell ref="A2:B2"/>
    <mergeCell ref="C3:F3"/>
    <mergeCell ref="D71:F71"/>
    <mergeCell ref="A71:B71"/>
    <mergeCell ref="A5:F5"/>
    <mergeCell ref="A6:F6"/>
    <mergeCell ref="C2:F2"/>
    <mergeCell ref="A3:B3"/>
    <mergeCell ref="D77:F77"/>
    <mergeCell ref="A77:B77"/>
  </mergeCell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6" workbookViewId="0">
      <selection activeCell="D36" sqref="D36:D41"/>
    </sheetView>
  </sheetViews>
  <sheetFormatPr baseColWidth="8" defaultRowHeight="14.25"/>
  <cols>
    <col width="4.375" customWidth="1" min="1" max="1"/>
    <col width="25.625" customWidth="1" min="2" max="2"/>
    <col width="15.75" customWidth="1" min="3" max="3"/>
    <col width="11.75" customWidth="1" min="4" max="4"/>
    <col width="21.25" customWidth="1" min="5" max="5"/>
    <col width="17.125" customWidth="1" min="6" max="6"/>
    <col width="6.5" customWidth="1" style="29" min="7" max="7"/>
    <col width="9.625" customWidth="1" style="29" min="8" max="8"/>
  </cols>
  <sheetData>
    <row r="1" ht="18.75" customHeight="1">
      <c r="A1" s="63" t="inlineStr">
        <is>
          <t>BẢNG TỔNG HỢP KẾT QUẢ ĐÁNH GIÁ, XÊP LOẠI QUÝ III/2026</t>
        </is>
      </c>
    </row>
    <row r="2" ht="18.75" customHeight="1">
      <c r="A2" s="66" t="inlineStr">
        <is>
          <t>(Ban hành kèm theo công văn số:          /HQTL ngày 26 tháng 9 năm 2026 của Hải quan CKQT Tà Lùng)</t>
        </is>
      </c>
    </row>
    <row r="3" ht="15" customHeight="1">
      <c r="A3" s="24" t="n"/>
      <c r="B3" s="24" t="n"/>
      <c r="C3" s="24" t="n"/>
      <c r="D3" s="24" t="n"/>
      <c r="E3" s="24" t="n"/>
      <c r="F3" s="18" t="n"/>
      <c r="G3" s="27" t="n"/>
      <c r="H3" s="27" t="n"/>
    </row>
    <row r="4" ht="56.25" customHeight="1">
      <c r="A4" s="4" t="inlineStr">
        <is>
          <t>STT</t>
        </is>
      </c>
      <c r="B4" s="4" t="inlineStr">
        <is>
          <t>Họ và tên</t>
        </is>
      </c>
      <c r="C4" s="4" t="inlineStr">
        <is>
          <t>Chức vụ</t>
        </is>
      </c>
      <c r="D4" s="4" t="inlineStr">
        <is>
          <t>Tổng điểm trung bình</t>
        </is>
      </c>
      <c r="E4" s="4" t="inlineStr">
        <is>
          <t>Đơn vị đánh giá, đề xuất mức xếp loại</t>
        </is>
      </c>
      <c r="F4" s="4" t="inlineStr">
        <is>
          <t>Ghi chú</t>
        </is>
      </c>
      <c r="G4" s="30" t="inlineStr">
        <is>
          <t>Điểm T9</t>
        </is>
      </c>
      <c r="H4" s="30" t="inlineStr">
        <is>
          <t>Cá nhân tự nhận</t>
        </is>
      </c>
    </row>
    <row r="5" ht="18.75" customHeight="1">
      <c r="A5" s="5" t="inlineStr">
        <is>
          <t>(1)</t>
        </is>
      </c>
      <c r="B5" s="5" t="inlineStr">
        <is>
          <t>(2)</t>
        </is>
      </c>
      <c r="C5" s="5" t="inlineStr">
        <is>
          <t>(3)</t>
        </is>
      </c>
      <c r="D5" s="5" t="inlineStr">
        <is>
          <t>(4)</t>
        </is>
      </c>
      <c r="E5" s="5" t="inlineStr">
        <is>
          <t>(5)</t>
        </is>
      </c>
      <c r="F5" s="5" t="inlineStr">
        <is>
          <t>(6)</t>
        </is>
      </c>
      <c r="G5" s="28" t="n"/>
      <c r="H5" s="28" t="n"/>
    </row>
    <row r="6" ht="15.75" customHeight="1">
      <c r="A6" s="40" t="n">
        <v>1</v>
      </c>
      <c r="B6" s="39" t="inlineStr">
        <is>
          <t>Hoàng Văn Bằng</t>
        </is>
      </c>
      <c r="C6" s="40" t="inlineStr">
        <is>
          <t>Q.Đội trưởng</t>
        </is>
      </c>
      <c r="D6" s="41" t="n">
        <v>89.79000000000001</v>
      </c>
      <c r="E6" s="26" t="inlineStr">
        <is>
          <t>Hoàn thành nhiệm vụ</t>
        </is>
      </c>
      <c r="F6" s="17" t="inlineStr">
        <is>
          <t>Hoàn thành NV</t>
        </is>
      </c>
      <c r="G6" s="42" t="n">
        <v>83.13</v>
      </c>
      <c r="H6" s="36" t="inlineStr">
        <is>
          <t>HT</t>
        </is>
      </c>
    </row>
    <row r="7" ht="31.5" customHeight="1">
      <c r="A7" s="40" t="n">
        <v>2</v>
      </c>
      <c r="B7" s="39" t="inlineStr">
        <is>
          <t>Nông Xuân Ánh</t>
        </is>
      </c>
      <c r="C7" s="40" t="inlineStr">
        <is>
          <t>Phó đội trưởng</t>
        </is>
      </c>
      <c r="D7" s="41" t="n">
        <v>93.62</v>
      </c>
      <c r="E7" s="14" t="inlineStr">
        <is>
          <t>Hoàn thành xuất sắc nhiệm vụ</t>
        </is>
      </c>
      <c r="F7" s="17" t="n"/>
      <c r="G7" s="42" t="n">
        <v>91.62</v>
      </c>
      <c r="H7" s="37" t="inlineStr">
        <is>
          <t>HTXS</t>
        </is>
      </c>
    </row>
    <row r="8" ht="31.5" customHeight="1">
      <c r="A8" s="40" t="n">
        <v>3</v>
      </c>
      <c r="B8" s="39" t="inlineStr">
        <is>
          <t>Trần Nguyên Đán</t>
        </is>
      </c>
      <c r="C8" s="40" t="inlineStr">
        <is>
          <t>Công chức</t>
        </is>
      </c>
      <c r="D8" s="41" t="n">
        <v>96.63</v>
      </c>
      <c r="E8" s="14" t="inlineStr">
        <is>
          <t>Hoàn thành xuất sắc nhiệm vụ</t>
        </is>
      </c>
      <c r="F8" s="17" t="n"/>
      <c r="G8" s="42" t="n">
        <v>93.88</v>
      </c>
      <c r="H8" s="37" t="inlineStr">
        <is>
          <t>HTXS</t>
        </is>
      </c>
    </row>
    <row r="9" ht="31.5" customHeight="1">
      <c r="A9" s="40" t="n">
        <v>4</v>
      </c>
      <c r="B9" s="39" t="inlineStr">
        <is>
          <t>Nguyễn Hải Yên</t>
        </is>
      </c>
      <c r="C9" s="40" t="inlineStr">
        <is>
          <t>Công chức</t>
        </is>
      </c>
      <c r="D9" s="41" t="n">
        <v>91.66</v>
      </c>
      <c r="E9" s="14" t="inlineStr">
        <is>
          <t>Hoàn thành xuất sắc nhiệm vụ</t>
        </is>
      </c>
      <c r="F9" s="17" t="n"/>
      <c r="G9" s="42" t="n">
        <v>94.11</v>
      </c>
      <c r="H9" s="37" t="inlineStr">
        <is>
          <t>HTXS</t>
        </is>
      </c>
    </row>
    <row r="10" ht="31.5" customHeight="1">
      <c r="A10" s="40" t="n">
        <v>5</v>
      </c>
      <c r="B10" s="39" t="inlineStr">
        <is>
          <t>Nguyễn Đình Giang</t>
        </is>
      </c>
      <c r="C10" s="40" t="inlineStr">
        <is>
          <t>Công chức</t>
        </is>
      </c>
      <c r="D10" s="41" t="n">
        <v>95.61</v>
      </c>
      <c r="E10" s="14" t="inlineStr">
        <is>
          <t>Hoàn thành xuất sắc nhiệm vụ</t>
        </is>
      </c>
      <c r="F10" s="17" t="n"/>
      <c r="G10" s="42" t="n">
        <v>94.43000000000001</v>
      </c>
      <c r="H10" s="37" t="inlineStr">
        <is>
          <t>HTXS</t>
        </is>
      </c>
    </row>
    <row r="11" ht="15.75" customHeight="1">
      <c r="A11" s="40" t="n">
        <v>6</v>
      </c>
      <c r="B11" s="39" t="inlineStr">
        <is>
          <t>Lô Thùy Ly</t>
        </is>
      </c>
      <c r="C11" s="40" t="inlineStr">
        <is>
          <t>Công chức</t>
        </is>
      </c>
      <c r="D11" s="41" t="n">
        <v>86.48</v>
      </c>
      <c r="E11" s="23" t="inlineStr">
        <is>
          <t>Hoàn thành tốt nhiệm vụ</t>
        </is>
      </c>
      <c r="F11" s="17" t="n"/>
      <c r="G11" s="42" t="n">
        <v>73.44</v>
      </c>
      <c r="H11" s="43" t="inlineStr">
        <is>
          <t>HTT</t>
        </is>
      </c>
    </row>
    <row r="12" ht="15.75" customHeight="1">
      <c r="A12" s="40" t="n">
        <v>7</v>
      </c>
      <c r="B12" s="39" t="inlineStr">
        <is>
          <t>Lê Quốc Hưng</t>
        </is>
      </c>
      <c r="C12" s="40" t="inlineStr">
        <is>
          <t>Công chức</t>
        </is>
      </c>
      <c r="D12" s="41" t="n">
        <v>87.43000000000001</v>
      </c>
      <c r="E12" s="23" t="inlineStr">
        <is>
          <t>Hoàn thành tốt nhiệm vụ</t>
        </is>
      </c>
      <c r="F12" s="17" t="n"/>
      <c r="G12" s="42" t="n">
        <v>89.66</v>
      </c>
      <c r="H12" s="43" t="inlineStr">
        <is>
          <t>HTT</t>
        </is>
      </c>
    </row>
    <row r="13" ht="15.75" customHeight="1">
      <c r="A13" s="40" t="n">
        <v>8</v>
      </c>
      <c r="B13" s="39" t="inlineStr">
        <is>
          <t>Nguyễn Xuân Dũng</t>
        </is>
      </c>
      <c r="C13" s="40" t="inlineStr">
        <is>
          <t>Công chức</t>
        </is>
      </c>
      <c r="D13" s="41" t="n">
        <v>87.56999999999999</v>
      </c>
      <c r="E13" s="23" t="inlineStr">
        <is>
          <t>Hoàn thành tốt nhiệm vụ</t>
        </is>
      </c>
      <c r="F13" s="17" t="n"/>
      <c r="G13" s="42" t="n">
        <v>87.02</v>
      </c>
      <c r="H13" s="43" t="inlineStr">
        <is>
          <t>HTT</t>
        </is>
      </c>
    </row>
    <row r="14" ht="31.5" customHeight="1">
      <c r="A14" s="40" t="n">
        <v>9</v>
      </c>
      <c r="B14" s="39" t="inlineStr">
        <is>
          <t>Bế Hoài Châu</t>
        </is>
      </c>
      <c r="C14" s="40" t="inlineStr">
        <is>
          <t>Công chức</t>
        </is>
      </c>
      <c r="D14" s="41" t="n">
        <v>94.81</v>
      </c>
      <c r="E14" s="23" t="inlineStr">
        <is>
          <t>Hoàn thành tốt nhiệm vụ</t>
        </is>
      </c>
      <c r="F14" s="23" t="inlineStr">
        <is>
          <t>Cá nhân nhận HTTNV</t>
        </is>
      </c>
      <c r="G14" s="42" t="n">
        <v>97.5</v>
      </c>
      <c r="H14" s="43" t="inlineStr">
        <is>
          <t>HTT</t>
        </is>
      </c>
    </row>
    <row r="15" ht="15.75" customHeight="1">
      <c r="A15" s="40" t="n">
        <v>10</v>
      </c>
      <c r="B15" s="39" t="inlineStr">
        <is>
          <t>Lý Thị Hương</t>
        </is>
      </c>
      <c r="C15" s="40" t="inlineStr">
        <is>
          <t>Công chức</t>
        </is>
      </c>
      <c r="D15" s="41" t="n">
        <v>89.92</v>
      </c>
      <c r="E15" s="23" t="inlineStr">
        <is>
          <t>Hoàn thành tốt nhiệm vụ</t>
        </is>
      </c>
      <c r="F15" s="17" t="n"/>
      <c r="G15" s="42" t="n">
        <v>80.83</v>
      </c>
      <c r="H15" s="43" t="inlineStr">
        <is>
          <t>HTT</t>
        </is>
      </c>
    </row>
    <row r="16" ht="31.5" customHeight="1">
      <c r="A16" s="40" t="n">
        <v>11</v>
      </c>
      <c r="B16" s="39" t="inlineStr">
        <is>
          <t>Hà Thị Dung</t>
        </is>
      </c>
      <c r="C16" s="40" t="inlineStr">
        <is>
          <t>Công chức</t>
        </is>
      </c>
      <c r="D16" s="41" t="n">
        <v>92.58</v>
      </c>
      <c r="E16" s="23" t="inlineStr">
        <is>
          <t>Hoàn thành tốt nhiệm vụ</t>
        </is>
      </c>
      <c r="F16" s="23" t="inlineStr">
        <is>
          <t>Cá nhân nhận HTTNV</t>
        </is>
      </c>
      <c r="G16" s="42" t="n">
        <v>92.31</v>
      </c>
      <c r="H16" s="43" t="inlineStr">
        <is>
          <t>HTT</t>
        </is>
      </c>
    </row>
    <row r="17" ht="15.75" customHeight="1">
      <c r="A17" s="40" t="n">
        <v>12</v>
      </c>
      <c r="B17" s="39" t="inlineStr">
        <is>
          <t>Đặng Minh Được</t>
        </is>
      </c>
      <c r="C17" s="40" t="inlineStr">
        <is>
          <t>Công chức</t>
        </is>
      </c>
      <c r="D17" s="41" t="n">
        <v>89.34999999999999</v>
      </c>
      <c r="E17" s="23" t="inlineStr">
        <is>
          <t>Hoàn thành tốt nhiệm vụ</t>
        </is>
      </c>
      <c r="F17" s="17" t="n"/>
      <c r="G17" s="42" t="n">
        <v>89.34999999999999</v>
      </c>
      <c r="H17" s="43" t="inlineStr">
        <is>
          <t>HTT</t>
        </is>
      </c>
    </row>
    <row r="18" ht="15.75" customHeight="1">
      <c r="A18" s="40" t="n">
        <v>13</v>
      </c>
      <c r="B18" s="39" t="inlineStr">
        <is>
          <t>Nguyễn Mạnh Toàn</t>
        </is>
      </c>
      <c r="C18" s="40" t="inlineStr">
        <is>
          <t>Công chức</t>
        </is>
      </c>
      <c r="D18" s="41" t="n">
        <v>89.09999999999999</v>
      </c>
      <c r="E18" s="23" t="inlineStr">
        <is>
          <t>Hoàn thành tốt nhiệm vụ</t>
        </is>
      </c>
      <c r="F18" s="17" t="n"/>
      <c r="G18" s="42" t="n">
        <v>79.89</v>
      </c>
      <c r="H18" s="43" t="inlineStr">
        <is>
          <t>HTT</t>
        </is>
      </c>
    </row>
    <row r="19" ht="15.75" customHeight="1">
      <c r="A19" s="40" t="n">
        <v>14</v>
      </c>
      <c r="B19" s="39" t="inlineStr">
        <is>
          <t>Trương Hồng Thắng</t>
        </is>
      </c>
      <c r="C19" s="40" t="inlineStr">
        <is>
          <t>Công chức</t>
        </is>
      </c>
      <c r="D19" s="41" t="n">
        <v>89.70999999999999</v>
      </c>
      <c r="E19" s="23" t="inlineStr">
        <is>
          <t>Hoàn thành tốt nhiệm vụ</t>
        </is>
      </c>
      <c r="F19" s="17" t="n"/>
      <c r="G19" s="42" t="n">
        <v>88.97</v>
      </c>
      <c r="H19" s="43" t="inlineStr">
        <is>
          <t>HTT</t>
        </is>
      </c>
    </row>
    <row r="20" ht="15.75" customHeight="1">
      <c r="A20" s="40" t="n">
        <v>15</v>
      </c>
      <c r="B20" s="39" t="inlineStr">
        <is>
          <t>Phương Khánh Hạ</t>
        </is>
      </c>
      <c r="C20" s="40" t="inlineStr">
        <is>
          <t>Công chức</t>
        </is>
      </c>
      <c r="D20" s="41" t="n">
        <v>90.97</v>
      </c>
      <c r="E20" s="23" t="inlineStr">
        <is>
          <t>Hoàn thành tốt nhiệm vụ</t>
        </is>
      </c>
      <c r="F20" s="17" t="inlineStr">
        <is>
          <t>Cá nhân nhận HTTNV</t>
        </is>
      </c>
      <c r="G20" s="42" t="n">
        <v>88.52</v>
      </c>
      <c r="H20" s="43" t="inlineStr">
        <is>
          <t>HTT</t>
        </is>
      </c>
    </row>
    <row r="21" ht="15.75" customHeight="1">
      <c r="A21" s="40" t="n">
        <v>16</v>
      </c>
      <c r="B21" s="39" t="inlineStr">
        <is>
          <t>Đinh Đức Hoàng</t>
        </is>
      </c>
      <c r="C21" s="40" t="inlineStr">
        <is>
          <t>Công chức</t>
        </is>
      </c>
      <c r="D21" s="41" t="n">
        <v>88.5</v>
      </c>
      <c r="E21" s="23" t="inlineStr">
        <is>
          <t>Hoàn thành tốt nhiệm vụ</t>
        </is>
      </c>
      <c r="F21" s="17" t="n"/>
      <c r="G21" s="42" t="n">
        <v>88.5</v>
      </c>
      <c r="H21" s="43" t="inlineStr">
        <is>
          <t>HTT</t>
        </is>
      </c>
    </row>
    <row r="22" ht="15.75" customHeight="1">
      <c r="A22" s="40" t="n">
        <v>17</v>
      </c>
      <c r="B22" s="39" t="inlineStr">
        <is>
          <t>Triệu Văn Hòa</t>
        </is>
      </c>
      <c r="C22" s="40" t="inlineStr">
        <is>
          <t>Công chức</t>
        </is>
      </c>
      <c r="D22" s="41" t="n">
        <v>91.69</v>
      </c>
      <c r="E22" s="23" t="inlineStr">
        <is>
          <t>Hoàn thành tốt nhiệm vụ</t>
        </is>
      </c>
      <c r="F22" s="17" t="inlineStr">
        <is>
          <t>Cá nhân nhận HTTNV</t>
        </is>
      </c>
      <c r="G22" s="42" t="n">
        <v>92.93000000000001</v>
      </c>
      <c r="H22" s="43" t="inlineStr">
        <is>
          <t>HTT</t>
        </is>
      </c>
    </row>
    <row r="23" ht="15.75" customHeight="1">
      <c r="A23" s="40" t="n">
        <v>18</v>
      </c>
      <c r="B23" s="39" t="inlineStr">
        <is>
          <t>Hoàng Văn Huynh</t>
        </is>
      </c>
      <c r="C23" s="40" t="inlineStr">
        <is>
          <t>Công chức</t>
        </is>
      </c>
      <c r="D23" s="41" t="n">
        <v>88.78</v>
      </c>
      <c r="E23" s="23" t="inlineStr">
        <is>
          <t>Hoàn thành tốt nhiệm vụ</t>
        </is>
      </c>
      <c r="F23" s="17" t="n"/>
      <c r="G23" s="42" t="n">
        <v>73.34999999999999</v>
      </c>
      <c r="H23" s="43" t="inlineStr">
        <is>
          <t>HTT</t>
        </is>
      </c>
    </row>
    <row r="24" ht="15.75" customHeight="1">
      <c r="A24" s="40" t="n">
        <v>19</v>
      </c>
      <c r="B24" s="39" t="inlineStr">
        <is>
          <t>Lã Trần Minh</t>
        </is>
      </c>
      <c r="C24" s="40" t="inlineStr">
        <is>
          <t>Công chức</t>
        </is>
      </c>
      <c r="D24" s="41" t="n">
        <v>88.98999999999999</v>
      </c>
      <c r="E24" s="23" t="inlineStr">
        <is>
          <t>Hoàn thành tốt nhiệm vụ</t>
        </is>
      </c>
      <c r="F24" s="17" t="n"/>
      <c r="G24" s="42" t="n">
        <v>71.98</v>
      </c>
      <c r="H24" s="43" t="inlineStr">
        <is>
          <t>HTT</t>
        </is>
      </c>
    </row>
    <row r="25" ht="15.75" customHeight="1">
      <c r="A25" s="40" t="n">
        <v>20</v>
      </c>
      <c r="B25" s="39" t="inlineStr">
        <is>
          <t>Nông Đức Thiện</t>
        </is>
      </c>
      <c r="C25" s="40" t="inlineStr">
        <is>
          <t>Công chức</t>
        </is>
      </c>
      <c r="D25" s="41" t="n">
        <v>88.94</v>
      </c>
      <c r="E25" s="23" t="inlineStr">
        <is>
          <t>Hoàn thành tốt nhiệm vụ</t>
        </is>
      </c>
      <c r="F25" s="17" t="n"/>
      <c r="G25" s="42" t="n">
        <v>71.83</v>
      </c>
      <c r="H25" s="43" t="inlineStr">
        <is>
          <t>HTT</t>
        </is>
      </c>
    </row>
    <row r="26" ht="31.5" customHeight="1">
      <c r="A26" s="44" t="n">
        <v>21</v>
      </c>
      <c r="B26" s="45" t="inlineStr">
        <is>
          <t>Tống Thái Nam</t>
        </is>
      </c>
      <c r="C26" s="44" t="inlineStr">
        <is>
          <t>Công chức</t>
        </is>
      </c>
      <c r="D26" s="46" t="n">
        <v>85.03</v>
      </c>
      <c r="E26" s="16" t="inlineStr">
        <is>
          <t>Hoàn thành nhiệm vụ</t>
        </is>
      </c>
      <c r="F26" s="16" t="inlineStr">
        <is>
          <t>Cá nhân tự nhận HTNV</t>
        </is>
      </c>
      <c r="G26" s="47" t="n">
        <v>69.47</v>
      </c>
      <c r="H26" s="36" t="inlineStr">
        <is>
          <t>HT</t>
        </is>
      </c>
    </row>
    <row r="27" ht="15.75" customHeight="1">
      <c r="A27" s="40" t="n">
        <v>22</v>
      </c>
      <c r="B27" s="39" t="inlineStr">
        <is>
          <t>Bế Văn Hiếu</t>
        </is>
      </c>
      <c r="C27" s="40" t="inlineStr">
        <is>
          <t>Công chức</t>
        </is>
      </c>
      <c r="D27" s="41" t="n">
        <v>89.48999999999999</v>
      </c>
      <c r="E27" s="23" t="inlineStr">
        <is>
          <t>Hoàn thành tốt nhiệm vụ</t>
        </is>
      </c>
      <c r="F27" s="23" t="n"/>
      <c r="G27" s="42" t="n">
        <v>74.42</v>
      </c>
      <c r="H27" s="43" t="inlineStr">
        <is>
          <t>HTT</t>
        </is>
      </c>
    </row>
    <row r="28" ht="31.5" customHeight="1">
      <c r="A28" s="48" t="n">
        <v>23</v>
      </c>
      <c r="B28" s="49" t="inlineStr">
        <is>
          <t>Trần Minh Hoàng</t>
        </is>
      </c>
      <c r="C28" s="48" t="inlineStr">
        <is>
          <t>Công chức</t>
        </is>
      </c>
      <c r="D28" s="50" t="n">
        <v>97.8</v>
      </c>
      <c r="E28" s="14" t="inlineStr">
        <is>
          <t>Hoàn thành xuất sắc nhiệm vụ</t>
        </is>
      </c>
      <c r="F28" s="19" t="n"/>
      <c r="G28" s="47" t="n">
        <v>98.5</v>
      </c>
      <c r="H28" s="37" t="inlineStr">
        <is>
          <t>HTXS</t>
        </is>
      </c>
    </row>
    <row r="29" ht="15.75" customHeight="1">
      <c r="A29" s="40" t="n">
        <v>24</v>
      </c>
      <c r="B29" s="39" t="inlineStr">
        <is>
          <t>Lâm Nhật Anh</t>
        </is>
      </c>
      <c r="C29" s="40" t="inlineStr">
        <is>
          <t>Công chức</t>
        </is>
      </c>
      <c r="D29" s="41" t="n">
        <v>97.5</v>
      </c>
      <c r="E29" s="23" t="inlineStr">
        <is>
          <t>Hoàn thành tốt nhiệm vụ</t>
        </is>
      </c>
      <c r="F29" s="17" t="inlineStr">
        <is>
          <t>Cá nhân nhận HTTNV</t>
        </is>
      </c>
      <c r="G29" s="42" t="n">
        <v>97.5</v>
      </c>
      <c r="H29" s="43" t="inlineStr">
        <is>
          <t>HTT</t>
        </is>
      </c>
    </row>
    <row r="30" ht="15.75" customHeight="1">
      <c r="A30" s="40" t="n">
        <v>25</v>
      </c>
      <c r="B30" s="39" t="inlineStr">
        <is>
          <t>Nguyễn Mạnh Hiên</t>
        </is>
      </c>
      <c r="C30" s="40" t="inlineStr">
        <is>
          <t>Công chức</t>
        </is>
      </c>
      <c r="D30" s="51" t="n">
        <v>87.54000000000001</v>
      </c>
      <c r="E30" s="23" t="inlineStr">
        <is>
          <t>Hoàn thành tốt nhiệm vụ</t>
        </is>
      </c>
      <c r="F30" s="17" t="n"/>
      <c r="G30" s="42" t="n">
        <v>83.2</v>
      </c>
      <c r="H30" s="43" t="inlineStr">
        <is>
          <t>HTT</t>
        </is>
      </c>
    </row>
    <row r="31" ht="15.75" customHeight="1">
      <c r="A31" s="40" t="n">
        <v>26</v>
      </c>
      <c r="B31" s="39" t="inlineStr">
        <is>
          <t>Nguyễn Tuấn Anh</t>
        </is>
      </c>
      <c r="C31" s="40" t="inlineStr">
        <is>
          <t>Công chức</t>
        </is>
      </c>
      <c r="D31" s="41" t="n">
        <v>89.47</v>
      </c>
      <c r="E31" s="23" t="inlineStr">
        <is>
          <t>Hoàn thành tốt nhiệm vụ</t>
        </is>
      </c>
      <c r="F31" s="17" t="n"/>
      <c r="G31" s="42" t="n">
        <v>86.22</v>
      </c>
      <c r="H31" s="43" t="inlineStr">
        <is>
          <t>HTT</t>
        </is>
      </c>
    </row>
    <row r="32" ht="15.75" customHeight="1">
      <c r="A32" s="40" t="n">
        <v>27</v>
      </c>
      <c r="B32" s="39" t="inlineStr">
        <is>
          <t>Đặng Minh Tuấn</t>
        </is>
      </c>
      <c r="C32" s="40" t="inlineStr">
        <is>
          <t>Công chức</t>
        </is>
      </c>
      <c r="D32" s="41" t="n">
        <v>89.18000000000001</v>
      </c>
      <c r="E32" s="23" t="inlineStr">
        <is>
          <t>Hoàn thành tốt nhiệm vụ</t>
        </is>
      </c>
      <c r="F32" s="17" t="n"/>
      <c r="G32" s="42" t="n">
        <v>83.09</v>
      </c>
      <c r="H32" s="43" t="inlineStr">
        <is>
          <t>HTT</t>
        </is>
      </c>
    </row>
    <row r="33" ht="15.75" customHeight="1">
      <c r="A33" s="40" t="n">
        <v>28</v>
      </c>
      <c r="B33" s="39" t="inlineStr">
        <is>
          <t>Hoàng Đức Hạnh</t>
        </is>
      </c>
      <c r="C33" s="40" t="inlineStr">
        <is>
          <t>Công chức</t>
        </is>
      </c>
      <c r="D33" s="41" t="n">
        <v>83.70999999999999</v>
      </c>
      <c r="E33" s="23" t="inlineStr">
        <is>
          <t>Hoàn thành tốt nhiệm vụ</t>
        </is>
      </c>
      <c r="F33" s="23" t="n"/>
      <c r="G33" s="42" t="n">
        <v>84.47</v>
      </c>
      <c r="H33" s="43" t="inlineStr">
        <is>
          <t>HTT</t>
        </is>
      </c>
    </row>
    <row r="34" ht="15.75" customHeight="1">
      <c r="A34" s="40" t="n">
        <v>29</v>
      </c>
      <c r="B34" s="39" t="inlineStr">
        <is>
          <t>Tô Văn Thụ</t>
        </is>
      </c>
      <c r="C34" s="40" t="inlineStr">
        <is>
          <t>Công chức</t>
        </is>
      </c>
      <c r="D34" s="41" t="n">
        <v>86.42</v>
      </c>
      <c r="E34" s="23" t="inlineStr">
        <is>
          <t>Hoàn thành tốt nhiệm vụ</t>
        </is>
      </c>
      <c r="F34" s="17" t="n"/>
      <c r="G34" s="42" t="n">
        <v>86.15000000000001</v>
      </c>
      <c r="H34" s="43" t="inlineStr">
        <is>
          <t>HTT</t>
        </is>
      </c>
    </row>
    <row r="35" ht="15.75" customHeight="1">
      <c r="A35" s="40" t="n">
        <v>30</v>
      </c>
      <c r="B35" s="39" t="inlineStr">
        <is>
          <t>Phạm Linh Thuận</t>
        </is>
      </c>
      <c r="C35" s="40" t="inlineStr">
        <is>
          <t>Công chức</t>
        </is>
      </c>
      <c r="D35" s="41" t="n">
        <v>84.51000000000001</v>
      </c>
      <c r="E35" s="23" t="inlineStr">
        <is>
          <t>Hoàn thành tốt nhiệm vụ</t>
        </is>
      </c>
      <c r="F35" s="17" t="n"/>
      <c r="G35" s="42" t="n">
        <v>80.65000000000001</v>
      </c>
      <c r="H35" s="43" t="inlineStr">
        <is>
          <t>HTT</t>
        </is>
      </c>
    </row>
    <row r="36" ht="15.75" customHeight="1">
      <c r="A36" s="56" t="n">
        <v>31</v>
      </c>
      <c r="B36" s="52" t="inlineStr">
        <is>
          <t xml:space="preserve">Long Trọng Giáp </t>
        </is>
      </c>
      <c r="C36" s="53" t="inlineStr">
        <is>
          <t>Bảo vệ</t>
        </is>
      </c>
      <c r="D36" s="54">
        <f>265.033333333333/3</f>
        <v/>
      </c>
      <c r="E36" s="31" t="inlineStr">
        <is>
          <t>Hoàn thành tốt nhiệm vụ</t>
        </is>
      </c>
      <c r="F36" s="17" t="n"/>
      <c r="G36" s="55" t="n">
        <v>89.3</v>
      </c>
      <c r="H36" s="43" t="inlineStr">
        <is>
          <t>HTT</t>
        </is>
      </c>
    </row>
    <row r="37" ht="15.75" customHeight="1">
      <c r="A37" s="56" t="n">
        <v>32</v>
      </c>
      <c r="B37" s="52" t="inlineStr">
        <is>
          <t xml:space="preserve">Hoàng Đức Trung </t>
        </is>
      </c>
      <c r="C37" s="53" t="inlineStr">
        <is>
          <t>Bảo vệ</t>
        </is>
      </c>
      <c r="D37" s="54">
        <f>252.066666666667/3</f>
        <v/>
      </c>
      <c r="E37" s="31" t="inlineStr">
        <is>
          <t>Hoàn thành tốt nhiệm vụ</t>
        </is>
      </c>
      <c r="F37" s="17" t="n"/>
      <c r="G37" s="55" t="n">
        <v>85.13333333333333</v>
      </c>
      <c r="H37" s="43" t="inlineStr">
        <is>
          <t>HTT</t>
        </is>
      </c>
    </row>
    <row r="38" ht="15.75" customHeight="1">
      <c r="A38" s="56" t="n">
        <v>33</v>
      </c>
      <c r="B38" s="52" t="inlineStr">
        <is>
          <t xml:space="preserve">Triệu Văn Giáp </t>
        </is>
      </c>
      <c r="C38" s="53" t="inlineStr">
        <is>
          <t>Tạp vụ</t>
        </is>
      </c>
      <c r="D38" s="54">
        <f>259.6/3</f>
        <v/>
      </c>
      <c r="E38" s="31" t="inlineStr">
        <is>
          <t>Hoàn thành tốt nhiệm vụ</t>
        </is>
      </c>
      <c r="F38" s="17" t="n"/>
      <c r="G38" s="55" t="n">
        <v>87.8</v>
      </c>
      <c r="H38" s="43" t="inlineStr">
        <is>
          <t>HTT</t>
        </is>
      </c>
    </row>
    <row r="39" ht="15.75" customHeight="1">
      <c r="A39" s="56" t="n">
        <v>34</v>
      </c>
      <c r="B39" s="52" t="inlineStr">
        <is>
          <t xml:space="preserve">Bế Thị Hồng </t>
        </is>
      </c>
      <c r="C39" s="53" t="inlineStr">
        <is>
          <t>Tạp vụ</t>
        </is>
      </c>
      <c r="D39" s="54">
        <f>256.733333333333/3</f>
        <v/>
      </c>
      <c r="E39" s="31" t="inlineStr">
        <is>
          <t>Hoàn thành tốt nhiệm vụ</t>
        </is>
      </c>
      <c r="F39" s="17" t="n"/>
      <c r="G39" s="55" t="n">
        <v>87.46666666666667</v>
      </c>
      <c r="H39" s="43" t="inlineStr">
        <is>
          <t>HTT</t>
        </is>
      </c>
    </row>
    <row r="40" ht="15.75" customHeight="1">
      <c r="A40" s="56" t="n">
        <v>35</v>
      </c>
      <c r="B40" s="52" t="inlineStr">
        <is>
          <t>Nông Thế Đạt</t>
        </is>
      </c>
      <c r="C40" s="53" t="inlineStr">
        <is>
          <t>Lái xe</t>
        </is>
      </c>
      <c r="D40" s="54">
        <f>263.666666666667/3</f>
        <v/>
      </c>
      <c r="E40" s="31" t="inlineStr">
        <is>
          <t>Hoàn thành tốt nhiệm vụ</t>
        </is>
      </c>
      <c r="F40" s="17" t="n"/>
      <c r="G40" s="55" t="n">
        <v>89.46666666666667</v>
      </c>
      <c r="H40" s="43" t="inlineStr">
        <is>
          <t>HTT</t>
        </is>
      </c>
    </row>
    <row r="41" ht="15.75" customHeight="1">
      <c r="A41" s="56" t="n">
        <v>36</v>
      </c>
      <c r="B41" s="52" t="inlineStr">
        <is>
          <t xml:space="preserve">Hoàng Văn Bách </t>
        </is>
      </c>
      <c r="C41" s="53" t="inlineStr">
        <is>
          <t>Bảo vệ</t>
        </is>
      </c>
      <c r="D41" s="54">
        <f>261.566666666667/3</f>
        <v/>
      </c>
      <c r="E41" s="31" t="inlineStr">
        <is>
          <t>Hoàn thành tốt nhiệm vụ</t>
        </is>
      </c>
      <c r="F41" s="17" t="n"/>
      <c r="G41" s="55" t="n">
        <v>88.89999999999999</v>
      </c>
      <c r="H41" s="43" t="inlineStr">
        <is>
          <t>HTT</t>
        </is>
      </c>
    </row>
  </sheetData>
  <mergeCells count="2">
    <mergeCell ref="A2:H2"/>
    <mergeCell ref="A1:H1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2026-07-05T08:16:15Z</dcterms:created>
  <dcterms:modified xmlns:dcterms="http://purl.org/dc/terms/" xmlns:xsi="http://www.w3.org/2001/XMLSchema-instance" xsi:type="dcterms:W3CDTF">2026-10-29T09:19:49Z</dcterms:modified>
  <cp:lastModifiedBy>ADMIN</cp:lastModifiedBy>
  <cp:lastPrinted>2026-09-30T10:02:01Z</cp:lastPrinted>
</cp:coreProperties>
</file>